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czniowie i Wpłaty" sheetId="2" state="visible" r:id="rId4"/>
    <sheet name="Rejestr Wydatków" sheetId="3" state="visible" r:id="rId5"/>
    <sheet name="Słowniki i Paramet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8" authorId="0">
      <text>
        <r>
          <rPr>
            <sz val="10"/>
            <rFont val="Arial"/>
            <family val="2"/>
          </rPr>
          <t xml:space="preserve">Wartość przykładowa – wpisz saldo przeniesione z poprzedniego roku.</t>
        </r>
      </text>
    </comment>
    <comment ref="K9" authorId="0">
      <text>
        <r>
          <rPr>
            <sz val="10"/>
            <rFont val="Arial"/>
            <family val="2"/>
          </rPr>
          <t xml:space="preserve">Wartość przykładowa – suma darowizn i odsetek, które nie są składkami uczniów.</t>
        </r>
      </text>
    </comment>
  </commentList>
</comments>
</file>

<file path=xl/sharedStrings.xml><?xml version="1.0" encoding="utf-8"?>
<sst xmlns="http://schemas.openxmlformats.org/spreadsheetml/2006/main" count="161" uniqueCount="133">
  <si>
    <t xml:space="preserve">Stan na dzień:</t>
  </si>
  <si>
    <t xml:space="preserve">Całkowity budżet</t>
  </si>
  <si>
    <t xml:space="preserve">Łączne wpłaty</t>
  </si>
  <si>
    <t xml:space="preserve">Łączne wydatki</t>
  </si>
  <si>
    <t xml:space="preserve">Aktualne saldo</t>
  </si>
  <si>
    <t xml:space="preserve">Ściągalność składek</t>
  </si>
  <si>
    <t xml:space="preserve">Zaległości</t>
  </si>
  <si>
    <t xml:space="preserve">suma wymaganych składek</t>
  </si>
  <si>
    <t xml:space="preserve">składki wpłacone przez rodziców</t>
  </si>
  <si>
    <t xml:space="preserve">wg Rejestru Wydatków</t>
  </si>
  <si>
    <t xml:space="preserve">z saldem pocz. i darowiznami</t>
  </si>
  <si>
    <t xml:space="preserve">1 − zaległości / budżet</t>
  </si>
  <si>
    <t xml:space="preserve">suma sald ujemnych</t>
  </si>
  <si>
    <t xml:space="preserve">Podsumowanie finansów</t>
  </si>
  <si>
    <t xml:space="preserve">Kwota</t>
  </si>
  <si>
    <t xml:space="preserve">Status uczniów</t>
  </si>
  <si>
    <t xml:space="preserve">Liczba</t>
  </si>
  <si>
    <t xml:space="preserve">Saldo początkowe</t>
  </si>
  <si>
    <t xml:space="preserve">Liczba uczniów</t>
  </si>
  <si>
    <t xml:space="preserve">Wpłaty składek od rodziców</t>
  </si>
  <si>
    <t xml:space="preserve">Zapłacone</t>
  </si>
  <si>
    <t xml:space="preserve">Inne przychody (darowizny, odsetki)</t>
  </si>
  <si>
    <t xml:space="preserve">Zaległość</t>
  </si>
  <si>
    <t xml:space="preserve">Razem środki (z saldem początkowym)</t>
  </si>
  <si>
    <t xml:space="preserve">Nadpłata</t>
  </si>
  <si>
    <t xml:space="preserve">Planowany budżet (składki wymagane)</t>
  </si>
  <si>
    <t xml:space="preserve">Zaległości do ściągnięcia</t>
  </si>
  <si>
    <t xml:space="preserve">Wydatki wg kategorii</t>
  </si>
  <si>
    <t xml:space="preserve">Kategoria</t>
  </si>
  <si>
    <t xml:space="preserve">Razem</t>
  </si>
  <si>
    <t xml:space="preserve">% udziału</t>
  </si>
  <si>
    <t xml:space="preserve">RAZEM</t>
  </si>
  <si>
    <t xml:space="preserve">Kontrola: wydatki bez kategorii</t>
  </si>
  <si>
    <t xml:space="preserve">Lista uczniów i wpłaty</t>
  </si>
  <si>
    <t xml:space="preserve">Wpisuj kwoty wpłacone w kolumnach składek (niebieskie). Kolumny K–N liczą się same. Saldo ujemne = zaległość, dodatnie = nadpłata. Zniżka jest odejmowana od sumy wymaganej.</t>
  </si>
  <si>
    <t xml:space="preserve">Nr w dzienniku</t>
  </si>
  <si>
    <t xml:space="preserve">Imię</t>
  </si>
  <si>
    <t xml:space="preserve">Nazwisko</t>
  </si>
  <si>
    <t xml:space="preserve">Zniżka / zwolnienie (zł)</t>
  </si>
  <si>
    <t xml:space="preserve">Suma wymagana</t>
  </si>
  <si>
    <t xml:space="preserve">Suma wpłacona</t>
  </si>
  <si>
    <t xml:space="preserve">Saldo / Zaległość</t>
  </si>
  <si>
    <t xml:space="preserve">Status</t>
  </si>
  <si>
    <t xml:space="preserve">Stawka domyślna (zł) →</t>
  </si>
  <si>
    <t xml:space="preserve">Anna</t>
  </si>
  <si>
    <t xml:space="preserve">Kowalska</t>
  </si>
  <si>
    <t xml:space="preserve">Jan</t>
  </si>
  <si>
    <t xml:space="preserve">Nowak</t>
  </si>
  <si>
    <t xml:space="preserve">Piotr</t>
  </si>
  <si>
    <t xml:space="preserve">Wiśniewski</t>
  </si>
  <si>
    <t xml:space="preserve">Maria</t>
  </si>
  <si>
    <t xml:space="preserve">Wójcik</t>
  </si>
  <si>
    <t xml:space="preserve">Tomasz</t>
  </si>
  <si>
    <t xml:space="preserve">Kamiński</t>
  </si>
  <si>
    <t xml:space="preserve">Zofia</t>
  </si>
  <si>
    <t xml:space="preserve">Lewandowska</t>
  </si>
  <si>
    <t xml:space="preserve">Michał</t>
  </si>
  <si>
    <t xml:space="preserve">Zieliński</t>
  </si>
  <si>
    <t xml:space="preserve">Julia</t>
  </si>
  <si>
    <t xml:space="preserve">Szymańska</t>
  </si>
  <si>
    <t xml:space="preserve">Kacper</t>
  </si>
  <si>
    <t xml:space="preserve">Woźniak</t>
  </si>
  <si>
    <t xml:space="preserve">Natalia</t>
  </si>
  <si>
    <t xml:space="preserve">Dąbrowska</t>
  </si>
  <si>
    <t xml:space="preserve">Filip</t>
  </si>
  <si>
    <t xml:space="preserve">Kozłowski</t>
  </si>
  <si>
    <t xml:space="preserve">Hanna</t>
  </si>
  <si>
    <t xml:space="preserve">Jankowska</t>
  </si>
  <si>
    <t xml:space="preserve">Suma wpłat na dany cel</t>
  </si>
  <si>
    <t xml:space="preserve">Liczba wpłacających</t>
  </si>
  <si>
    <t xml:space="preserve">Średnia wpłata (wśród wpłacających)</t>
  </si>
  <si>
    <t xml:space="preserve">% uczniów, którzy wpłacili</t>
  </si>
  <si>
    <t xml:space="preserve">Rejestr wydatków (księga rozchodów)</t>
  </si>
  <si>
    <t xml:space="preserve">Każdy wydatek w osobnym wierszu. Kategoria i Forma płatności – wybierz z listy rozwijanej. Podsumowania po prawej liczą się same.</t>
  </si>
  <si>
    <t xml:space="preserve">Razem wydatków:</t>
  </si>
  <si>
    <t xml:space="preserve">Data</t>
  </si>
  <si>
    <t xml:space="preserve">Nr dowodu / faktury / paragonu</t>
  </si>
  <si>
    <t xml:space="preserve">Opis wydatku</t>
  </si>
  <si>
    <t xml:space="preserve">Kwota (zł)</t>
  </si>
  <si>
    <t xml:space="preserve">Forma płatności</t>
  </si>
  <si>
    <t xml:space="preserve">Osoba rozliczająca</t>
  </si>
  <si>
    <t xml:space="preserve">Uwagi</t>
  </si>
  <si>
    <t xml:space="preserve">Suma wydatków</t>
  </si>
  <si>
    <t xml:space="preserve">PAR/001/2026</t>
  </si>
  <si>
    <t xml:space="preserve">Bilety wstępu do muzeum – wycieczka jesienna</t>
  </si>
  <si>
    <t xml:space="preserve">Wycieczki</t>
  </si>
  <si>
    <t xml:space="preserve">Przelew</t>
  </si>
  <si>
    <t xml:space="preserve">Ewa Mazur</t>
  </si>
  <si>
    <t xml:space="preserve">FV 88/09/2026</t>
  </si>
  <si>
    <t xml:space="preserve">Autokar – wycieczka jesienna</t>
  </si>
  <si>
    <t xml:space="preserve">Faktura w teczce</t>
  </si>
  <si>
    <t xml:space="preserve">Par. 4521</t>
  </si>
  <si>
    <t xml:space="preserve">Zeszyty i pomoce naukowe do klasy</t>
  </si>
  <si>
    <t xml:space="preserve">Materiały naukowe</t>
  </si>
  <si>
    <t xml:space="preserve">Gotówka</t>
  </si>
  <si>
    <t xml:space="preserve">Par. 7730</t>
  </si>
  <si>
    <t xml:space="preserve">Kwiaty i upominki na Dzień Edukacji Narodowej</t>
  </si>
  <si>
    <t xml:space="preserve">Prezenty i drobiazgi</t>
  </si>
  <si>
    <t xml:space="preserve">Par. 7791</t>
  </si>
  <si>
    <t xml:space="preserve">Papier, flamastry, tablica korkowa</t>
  </si>
  <si>
    <t xml:space="preserve">PAR/002/2026</t>
  </si>
  <si>
    <t xml:space="preserve">Wpłata na fundusz klasowy – wspólne wydatki</t>
  </si>
  <si>
    <t xml:space="preserve">Fundusz klasowy</t>
  </si>
  <si>
    <t xml:space="preserve">RAZEM wg kategorii</t>
  </si>
  <si>
    <t xml:space="preserve">Słowniki i parametry</t>
  </si>
  <si>
    <t xml:space="preserve">Niebieskie komórki możesz zmieniać – cały skoroszyt (listy rozwijane, stawki, Dashboard) zaktualizuje się automatycznie. Wartości są przykładowe.</t>
  </si>
  <si>
    <t xml:space="preserve">Kategorie wydatków</t>
  </si>
  <si>
    <t xml:space="preserve">Kategorie przychodów</t>
  </si>
  <si>
    <t xml:space="preserve">Formy płatności</t>
  </si>
  <si>
    <t xml:space="preserve">Nazwa składki</t>
  </si>
  <si>
    <t xml:space="preserve">Domyślna stawka (zł)</t>
  </si>
  <si>
    <t xml:space="preserve">Parametr</t>
  </si>
  <si>
    <t xml:space="preserve">Wartość</t>
  </si>
  <si>
    <t xml:space="preserve">Składki rodziców</t>
  </si>
  <si>
    <t xml:space="preserve">Składka roczna</t>
  </si>
  <si>
    <t xml:space="preserve">Klasa / szkoła</t>
  </si>
  <si>
    <t xml:space="preserve">Klasa 5a</t>
  </si>
  <si>
    <t xml:space="preserve">Darowizny</t>
  </si>
  <si>
    <t xml:space="preserve">Wycieczka jesienna</t>
  </si>
  <si>
    <t xml:space="preserve">Rok szkolny</t>
  </si>
  <si>
    <t xml:space="preserve">2026/2027</t>
  </si>
  <si>
    <t xml:space="preserve">Odsetki bankowe</t>
  </si>
  <si>
    <t xml:space="preserve">Dzień Edukacji Narodowej</t>
  </si>
  <si>
    <t xml:space="preserve">Skarbnik</t>
  </si>
  <si>
    <t xml:space="preserve">Imprezy klasowe</t>
  </si>
  <si>
    <t xml:space="preserve">Inne przychody</t>
  </si>
  <si>
    <t xml:space="preserve">Mikołajki</t>
  </si>
  <si>
    <t xml:space="preserve">Saldo początkowe (zł)</t>
  </si>
  <si>
    <t xml:space="preserve">Wycieczka wiosenna</t>
  </si>
  <si>
    <t xml:space="preserve">Inne przychody – darowizny, odsetki (zł)</t>
  </si>
  <si>
    <t xml:space="preserve">Inne</t>
  </si>
  <si>
    <t xml:space="preserve">Inna składka</t>
  </si>
  <si>
    <t xml:space="preserve">Uwaga: stawki ze słownika zasilają wiersz 'Stawka' w zakładce 'Uczniowie i Wpłaty'. Zmiana stawki przelicza 'Sumę wymaganą' wszystkich uczniów.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</si>
</sst>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.00&quot; zł&quot;;\-#,##0.00&quot; zł&quot;"/>
    <numFmt numFmtId="167" formatCode="0.0%"/>
    <numFmt numFmtId="168" formatCode="General"/>
    <numFmt numFmtId="169" formatCode="#,##0.00;\-#,##0.0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EAF1FB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C00000"/>
        <sz val="15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BF8F00"/>
      </font>
    </dxf>
    <dxf>
      <font>
        <name val="Arial"/>
        <charset val="1"/>
        <family val="0"/>
        <b val="1"/>
        <color rgb="FF548235"/>
      </font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1F4E78"/>
      </font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E4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2F2F2"/>
      <rgbColor rgb="FFD9D9D9"/>
      <rgbColor rgb="FFFCE4E4"/>
      <rgbColor rgb="FFD9E1F2"/>
      <rgbColor rgb="FFFFC7CE"/>
      <rgbColor rgb="FF4F81BD"/>
      <rgbColor rgb="FF33CCCC"/>
      <rgbColor rgb="FF99CC00"/>
      <rgbColor rgb="FFFFD966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Wydatki wg kategorii (zł)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Dashboard!D21</c:f>
              <c:strCache>
                <c:ptCount val="1"/>
                <c:pt idx="0">
                  <c:v>Razem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Dashboard!$A$22:$A$27</c:f>
              <c:strCache>
                <c:ptCount val="6"/>
                <c:pt idx="0">
                  <c:v>Wycieczki</c:v>
                </c:pt>
                <c:pt idx="1">
                  <c:v>Prezenty i drobiazgi</c:v>
                </c:pt>
                <c:pt idx="2">
                  <c:v>Materiały naukowe</c:v>
                </c:pt>
                <c:pt idx="3">
                  <c:v>Imprezy klasowe</c:v>
                </c:pt>
                <c:pt idx="4">
                  <c:v>Fundusz klasowy</c:v>
                </c:pt>
                <c:pt idx="5">
                  <c:v>Inne</c:v>
                </c:pt>
              </c:strCache>
            </c:strRef>
          </c:cat>
          <c:val>
            <c:numRef>
              <c:f>Dashboard!$D$22:$D$27</c:f>
              <c:numCache>
                <c:formatCode>#,##0.00" zł";\-#,##0.00" zł"</c:formatCode>
                <c:ptCount val="6"/>
                <c:pt idx="0">
                  <c:v>1020</c:v>
                </c:pt>
                <c:pt idx="1">
                  <c:v>120</c:v>
                </c:pt>
                <c:pt idx="2">
                  <c:v>250.4</c:v>
                </c:pt>
                <c:pt idx="3">
                  <c:v>0</c:v>
                </c:pt>
                <c:pt idx="4">
                  <c:v>150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1995103"/>
        <c:axId val="48298333"/>
      </c:barChart>
      <c:catAx>
        <c:axId val="6199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98333"/>
        <c:crosses val="autoZero"/>
        <c:auto val="1"/>
        <c:lblAlgn val="ctr"/>
        <c:lblOffset val="100"/>
        <c:noMultiLvlLbl val="0"/>
      </c:catAx>
      <c:valAx>
        <c:axId val="48298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zł&quot;;\-#,##0.00&quot; zł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95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131040</xdr:rowOff>
    </xdr:from>
    <xdr:to>
      <xdr:col>14</xdr:col>
      <xdr:colOff>507600</xdr:colOff>
      <xdr:row>24</xdr:row>
      <xdr:rowOff>132120</xdr:rowOff>
    </xdr:to>
    <xdr:graphicFrame>
      <xdr:nvGraphicFramePr>
        <xdr:cNvPr id="0" name="Chart 1"/>
        <xdr:cNvGraphicFramePr/>
      </xdr:nvGraphicFramePr>
      <xdr:xfrm>
        <a:off x="10008720" y="1762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6" min="5" style="0" width="20"/>
  </cols>
  <sheetData>
    <row r="1" customFormat="false" ht="19.7" hidden="false" customHeight="false" outlineLevel="0" collapsed="false">
      <c r="A1" s="1" t="str">
        <f aca="false">"Skarbnik klasowy – "&amp;'Słowniki i Parametry'!K5&amp;"  |  rok szkolny "&amp;'Słowniki i Parametry'!K6</f>
        <v>Skarbnik klasowy – Klasa 5a  |  rok szkolny 2026/2027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tr">
        <f aca="false">"Skarbnik: "&amp;'Słowniki i Parametry'!K7</f>
        <v>Skarbnik: Ewa Mazur</v>
      </c>
      <c r="B2" s="3" t="s">
        <v>0</v>
      </c>
      <c r="C2" s="4" t="n">
        <f aca="true">TODAY()</f>
        <v>46299</v>
      </c>
    </row>
    <row r="4" customFormat="false" ht="15" hidden="false" customHeight="fals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customFormat="false" ht="33.75" hidden="false" customHeight="true" outlineLevel="0" collapsed="false">
      <c r="A5" s="6" t="n">
        <f aca="false">B16</f>
        <v>3900</v>
      </c>
      <c r="B5" s="6" t="n">
        <f aca="false">B11</f>
        <v>3495</v>
      </c>
      <c r="C5" s="6" t="n">
        <f aca="false">B14</f>
        <v>1540.4</v>
      </c>
      <c r="D5" s="6" t="n">
        <f aca="false">B15</f>
        <v>2254.6</v>
      </c>
      <c r="E5" s="7" t="n">
        <f aca="false">B18</f>
        <v>0.891025641025641</v>
      </c>
      <c r="F5" s="6" t="n">
        <f aca="false">B17</f>
        <v>425</v>
      </c>
    </row>
    <row r="6" customFormat="false" ht="15" hidden="false" customHeight="fals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</row>
    <row r="9" customFormat="false" ht="15" hidden="false" customHeight="false" outlineLevel="0" collapsed="false">
      <c r="A9" s="5" t="s">
        <v>13</v>
      </c>
      <c r="B9" s="5" t="s">
        <v>14</v>
      </c>
      <c r="D9" s="5" t="s">
        <v>15</v>
      </c>
      <c r="E9" s="5" t="s">
        <v>16</v>
      </c>
    </row>
    <row r="10" customFormat="false" ht="15" hidden="false" customHeight="false" outlineLevel="0" collapsed="false">
      <c r="A10" s="9" t="s">
        <v>17</v>
      </c>
      <c r="B10" s="10" t="n">
        <f aca="false">'Słowniki i Parametry'!K8</f>
        <v>200</v>
      </c>
      <c r="D10" s="11" t="s">
        <v>18</v>
      </c>
      <c r="E10" s="12" t="n">
        <f aca="false">COUNTA('Uczniowie i Wpłaty'!C6:C35)</f>
        <v>12</v>
      </c>
    </row>
    <row r="11" customFormat="false" ht="15" hidden="false" customHeight="false" outlineLevel="0" collapsed="false">
      <c r="A11" s="9" t="s">
        <v>19</v>
      </c>
      <c r="B11" s="10" t="n">
        <f aca="false">SUM('Uczniowie i Wpłaty'!L6:L35)</f>
        <v>3495</v>
      </c>
      <c r="D11" s="9" t="s">
        <v>20</v>
      </c>
      <c r="E11" s="13" t="n">
        <f aca="false">COUNTIF('Uczniowie i Wpłaty'!N6:N35,"Zapłacone")</f>
        <v>6</v>
      </c>
    </row>
    <row r="12" customFormat="false" ht="15" hidden="false" customHeight="false" outlineLevel="0" collapsed="false">
      <c r="A12" s="9" t="s">
        <v>21</v>
      </c>
      <c r="B12" s="10" t="n">
        <f aca="false">'Słowniki i Parametry'!K9</f>
        <v>100</v>
      </c>
      <c r="D12" s="9" t="s">
        <v>22</v>
      </c>
      <c r="E12" s="13" t="n">
        <f aca="false">COUNTIF('Uczniowie i Wpłaty'!N6:N35,"Zaległość")</f>
        <v>5</v>
      </c>
    </row>
    <row r="13" customFormat="false" ht="15" hidden="false" customHeight="false" outlineLevel="0" collapsed="false">
      <c r="A13" s="14" t="s">
        <v>23</v>
      </c>
      <c r="B13" s="15" t="n">
        <f aca="false">SUM(B10:B12)</f>
        <v>3795</v>
      </c>
      <c r="D13" s="9" t="s">
        <v>24</v>
      </c>
      <c r="E13" s="13" t="n">
        <f aca="false">COUNTIF('Uczniowie i Wpłaty'!N6:N35,"Nadpłata")</f>
        <v>1</v>
      </c>
    </row>
    <row r="14" customFormat="false" ht="15" hidden="false" customHeight="false" outlineLevel="0" collapsed="false">
      <c r="A14" s="9" t="s">
        <v>3</v>
      </c>
      <c r="B14" s="10" t="n">
        <f aca="false">SUM('Rejestr Wydatków'!E5:E304)</f>
        <v>1540.4</v>
      </c>
    </row>
    <row r="15" customFormat="false" ht="15" hidden="false" customHeight="false" outlineLevel="0" collapsed="false">
      <c r="A15" s="14" t="s">
        <v>4</v>
      </c>
      <c r="B15" s="15" t="n">
        <f aca="false">B13-B14</f>
        <v>2254.6</v>
      </c>
    </row>
    <row r="16" customFormat="false" ht="15" hidden="false" customHeight="false" outlineLevel="0" collapsed="false">
      <c r="A16" s="9" t="s">
        <v>25</v>
      </c>
      <c r="B16" s="10" t="n">
        <f aca="false">SUM('Uczniowie i Wpłaty'!K6:K35)</f>
        <v>3900</v>
      </c>
    </row>
    <row r="17" customFormat="false" ht="15" hidden="false" customHeight="false" outlineLevel="0" collapsed="false">
      <c r="A17" s="9" t="s">
        <v>26</v>
      </c>
      <c r="B17" s="10" t="n">
        <f aca="false">-SUMIF('Uczniowie i Wpłaty'!M6:M35,"&lt;0")</f>
        <v>425</v>
      </c>
    </row>
    <row r="18" customFormat="false" ht="15" hidden="false" customHeight="false" outlineLevel="0" collapsed="false">
      <c r="A18" s="9" t="s">
        <v>5</v>
      </c>
      <c r="B18" s="16" t="n">
        <f aca="false">IF(B16=0,0,1-B17/B16)</f>
        <v>0.891025641025641</v>
      </c>
    </row>
    <row r="20" customFormat="false" ht="15" hidden="false" customHeight="false" outlineLevel="0" collapsed="false">
      <c r="A20" s="17" t="s">
        <v>27</v>
      </c>
    </row>
    <row r="21" customFormat="false" ht="15" hidden="false" customHeight="false" outlineLevel="0" collapsed="false">
      <c r="A21" s="5" t="s">
        <v>28</v>
      </c>
      <c r="B21" s="5" t="str">
        <f aca="false">'Słowniki i Parametry'!E5</f>
        <v>Gotówka</v>
      </c>
      <c r="C21" s="5" t="str">
        <f aca="false">'Słowniki i Parametry'!E6</f>
        <v>Przelew</v>
      </c>
      <c r="D21" s="5" t="s">
        <v>29</v>
      </c>
      <c r="E21" s="5" t="s">
        <v>30</v>
      </c>
    </row>
    <row r="22" customFormat="false" ht="15" hidden="false" customHeight="false" outlineLevel="0" collapsed="false">
      <c r="A22" s="9" t="str">
        <f aca="false">IF('Słowniki i Parametry'!A5="","",'Słowniki i Parametry'!A5)</f>
        <v>Wycieczki</v>
      </c>
      <c r="B22" s="10" t="n">
        <f aca="false">IF($A22="","",SUMIFS('Rejestr Wydatków'!$E$5:$E$304,'Rejestr Wydatków'!$D$5:$D$304,$A22,'Rejestr Wydatków'!$F$5:$F$304,B$21))</f>
        <v>0</v>
      </c>
      <c r="C22" s="10" t="n">
        <f aca="false">IF($A22="","",SUMIFS('Rejestr Wydatków'!$E$5:$E$304,'Rejestr Wydatków'!$D$5:$D$304,$A22,'Rejestr Wydatków'!$F$5:$F$304,C$21))</f>
        <v>1020</v>
      </c>
      <c r="D22" s="18" t="n">
        <f aca="false">IF($A22="","",SUMIF('Rejestr Wydatków'!$D$5:$D$304,$A22,'Rejestr Wydatków'!$E$5:$E$304))</f>
        <v>1020</v>
      </c>
      <c r="E22" s="16" t="n">
        <f aca="false">IF($A22="","",IF($D$30=0,0,D22/$D$30))</f>
        <v>0.66216567125422</v>
      </c>
    </row>
    <row r="23" customFormat="false" ht="15" hidden="false" customHeight="false" outlineLevel="0" collapsed="false">
      <c r="A23" s="9" t="str">
        <f aca="false">IF('Słowniki i Parametry'!A6="","",'Słowniki i Parametry'!A6)</f>
        <v>Prezenty i drobiazgi</v>
      </c>
      <c r="B23" s="10" t="n">
        <f aca="false">IF($A23="","",SUMIFS('Rejestr Wydatków'!$E$5:$E$304,'Rejestr Wydatków'!$D$5:$D$304,$A23,'Rejestr Wydatków'!$F$5:$F$304,B$21))</f>
        <v>120</v>
      </c>
      <c r="C23" s="10" t="n">
        <f aca="false">IF($A23="","",SUMIFS('Rejestr Wydatków'!$E$5:$E$304,'Rejestr Wydatków'!$D$5:$D$304,$A23,'Rejestr Wydatków'!$F$5:$F$304,C$21))</f>
        <v>0</v>
      </c>
      <c r="D23" s="18" t="n">
        <f aca="false">IF($A23="","",SUMIF('Rejestr Wydatków'!$D$5:$D$304,$A23,'Rejestr Wydatków'!$E$5:$E$304))</f>
        <v>120</v>
      </c>
      <c r="E23" s="16" t="n">
        <f aca="false">IF($A23="","",IF($D$30=0,0,D23/$D$30))</f>
        <v>0.077901843676967</v>
      </c>
    </row>
    <row r="24" customFormat="false" ht="15" hidden="false" customHeight="false" outlineLevel="0" collapsed="false">
      <c r="A24" s="9" t="str">
        <f aca="false">IF('Słowniki i Parametry'!A7="","",'Słowniki i Parametry'!A7)</f>
        <v>Materiały naukowe</v>
      </c>
      <c r="B24" s="10" t="n">
        <f aca="false">IF($A24="","",SUMIFS('Rejestr Wydatków'!$E$5:$E$304,'Rejestr Wydatków'!$D$5:$D$304,$A24,'Rejestr Wydatków'!$F$5:$F$304,B$21))</f>
        <v>250.4</v>
      </c>
      <c r="C24" s="10" t="n">
        <f aca="false">IF($A24="","",SUMIFS('Rejestr Wydatków'!$E$5:$E$304,'Rejestr Wydatków'!$D$5:$D$304,$A24,'Rejestr Wydatków'!$F$5:$F$304,C$21))</f>
        <v>0</v>
      </c>
      <c r="D24" s="18" t="n">
        <f aca="false">IF($A24="","",SUMIF('Rejestr Wydatków'!$D$5:$D$304,$A24,'Rejestr Wydatków'!$E$5:$E$304))</f>
        <v>250.4</v>
      </c>
      <c r="E24" s="16" t="n">
        <f aca="false">IF($A24="","",IF($D$30=0,0,D24/$D$30))</f>
        <v>0.162555180472605</v>
      </c>
    </row>
    <row r="25" customFormat="false" ht="15" hidden="false" customHeight="false" outlineLevel="0" collapsed="false">
      <c r="A25" s="9" t="str">
        <f aca="false">IF('Słowniki i Parametry'!A8="","",'Słowniki i Parametry'!A8)</f>
        <v>Imprezy klasowe</v>
      </c>
      <c r="B25" s="10" t="n">
        <f aca="false">IF($A25="","",SUMIFS('Rejestr Wydatków'!$E$5:$E$304,'Rejestr Wydatków'!$D$5:$D$304,$A25,'Rejestr Wydatków'!$F$5:$F$304,B$21))</f>
        <v>0</v>
      </c>
      <c r="C25" s="10" t="n">
        <f aca="false">IF($A25="","",SUMIFS('Rejestr Wydatków'!$E$5:$E$304,'Rejestr Wydatków'!$D$5:$D$304,$A25,'Rejestr Wydatków'!$F$5:$F$304,C$21))</f>
        <v>0</v>
      </c>
      <c r="D25" s="18" t="n">
        <f aca="false">IF($A25="","",SUMIF('Rejestr Wydatków'!$D$5:$D$304,$A25,'Rejestr Wydatków'!$E$5:$E$304))</f>
        <v>0</v>
      </c>
      <c r="E25" s="16" t="n">
        <f aca="false">IF($A25="","",IF($D$30=0,0,D25/$D$30))</f>
        <v>0</v>
      </c>
    </row>
    <row r="26" customFormat="false" ht="15" hidden="false" customHeight="false" outlineLevel="0" collapsed="false">
      <c r="A26" s="9" t="str">
        <f aca="false">IF('Słowniki i Parametry'!A9="","",'Słowniki i Parametry'!A9)</f>
        <v>Fundusz klasowy</v>
      </c>
      <c r="B26" s="10" t="n">
        <f aca="false">IF($A26="","",SUMIFS('Rejestr Wydatków'!$E$5:$E$304,'Rejestr Wydatków'!$D$5:$D$304,$A26,'Rejestr Wydatków'!$F$5:$F$304,B$21))</f>
        <v>0</v>
      </c>
      <c r="C26" s="10" t="n">
        <f aca="false">IF($A26="","",SUMIFS('Rejestr Wydatków'!$E$5:$E$304,'Rejestr Wydatków'!$D$5:$D$304,$A26,'Rejestr Wydatków'!$F$5:$F$304,C$21))</f>
        <v>150</v>
      </c>
      <c r="D26" s="18" t="n">
        <f aca="false">IF($A26="","",SUMIF('Rejestr Wydatków'!$D$5:$D$304,$A26,'Rejestr Wydatków'!$E$5:$E$304))</f>
        <v>150</v>
      </c>
      <c r="E26" s="16" t="n">
        <f aca="false">IF($A26="","",IF($D$30=0,0,D26/$D$30))</f>
        <v>0.0973773045962088</v>
      </c>
    </row>
    <row r="27" customFormat="false" ht="15" hidden="false" customHeight="false" outlineLevel="0" collapsed="false">
      <c r="A27" s="9" t="str">
        <f aca="false">IF('Słowniki i Parametry'!A10="","",'Słowniki i Parametry'!A10)</f>
        <v>Inne</v>
      </c>
      <c r="B27" s="10" t="n">
        <f aca="false">IF($A27="","",SUMIFS('Rejestr Wydatków'!$E$5:$E$304,'Rejestr Wydatków'!$D$5:$D$304,$A27,'Rejestr Wydatków'!$F$5:$F$304,B$21))</f>
        <v>0</v>
      </c>
      <c r="C27" s="10" t="n">
        <f aca="false">IF($A27="","",SUMIFS('Rejestr Wydatków'!$E$5:$E$304,'Rejestr Wydatków'!$D$5:$D$304,$A27,'Rejestr Wydatków'!$F$5:$F$304,C$21))</f>
        <v>0</v>
      </c>
      <c r="D27" s="18" t="n">
        <f aca="false">IF($A27="","",SUMIF('Rejestr Wydatków'!$D$5:$D$304,$A27,'Rejestr Wydatków'!$E$5:$E$304))</f>
        <v>0</v>
      </c>
      <c r="E27" s="16" t="n">
        <f aca="false">IF($A27="","",IF($D$30=0,0,D27/$D$30))</f>
        <v>0</v>
      </c>
    </row>
    <row r="28" customFormat="false" ht="15" hidden="false" customHeight="false" outlineLevel="0" collapsed="false">
      <c r="A28" s="9" t="str">
        <f aca="false">IF('Słowniki i Parametry'!A11="","",'Słowniki i Parametry'!A11)</f>
        <v/>
      </c>
      <c r="B28" s="10" t="str">
        <f aca="false">IF($A28="","",SUMIFS('Rejestr Wydatków'!$E$5:$E$304,'Rejestr Wydatków'!$D$5:$D$304,$A28,'Rejestr Wydatków'!$F$5:$F$304,B$21))</f>
        <v/>
      </c>
      <c r="C28" s="10" t="str">
        <f aca="false">IF($A28="","",SUMIFS('Rejestr Wydatków'!$E$5:$E$304,'Rejestr Wydatków'!$D$5:$D$304,$A28,'Rejestr Wydatków'!$F$5:$F$304,C$21))</f>
        <v/>
      </c>
      <c r="D28" s="18" t="str">
        <f aca="false">IF($A28="","",SUMIF('Rejestr Wydatków'!$D$5:$D$304,$A28,'Rejestr Wydatków'!$E$5:$E$304))</f>
        <v/>
      </c>
      <c r="E28" s="16" t="str">
        <f aca="false">IF($A28="","",IF($D$30=0,0,D28/$D$30))</f>
        <v/>
      </c>
    </row>
    <row r="29" customFormat="false" ht="15" hidden="false" customHeight="false" outlineLevel="0" collapsed="false">
      <c r="A29" s="9" t="str">
        <f aca="false">IF('Słowniki i Parametry'!A12="","",'Słowniki i Parametry'!A12)</f>
        <v/>
      </c>
      <c r="B29" s="10" t="str">
        <f aca="false">IF($A29="","",SUMIFS('Rejestr Wydatków'!$E$5:$E$304,'Rejestr Wydatków'!$D$5:$D$304,$A29,'Rejestr Wydatków'!$F$5:$F$304,B$21))</f>
        <v/>
      </c>
      <c r="C29" s="10" t="str">
        <f aca="false">IF($A29="","",SUMIFS('Rejestr Wydatków'!$E$5:$E$304,'Rejestr Wydatków'!$D$5:$D$304,$A29,'Rejestr Wydatków'!$F$5:$F$304,C$21))</f>
        <v/>
      </c>
      <c r="D29" s="18" t="str">
        <f aca="false">IF($A29="","",SUMIF('Rejestr Wydatków'!$D$5:$D$304,$A29,'Rejestr Wydatków'!$E$5:$E$304))</f>
        <v/>
      </c>
      <c r="E29" s="16" t="str">
        <f aca="false">IF($A29="","",IF($D$30=0,0,D29/$D$30))</f>
        <v/>
      </c>
    </row>
    <row r="30" customFormat="false" ht="15" hidden="false" customHeight="false" outlineLevel="0" collapsed="false">
      <c r="A30" s="14" t="s">
        <v>31</v>
      </c>
      <c r="B30" s="15" t="n">
        <f aca="false">SUM(B22:B29)</f>
        <v>370.4</v>
      </c>
      <c r="C30" s="15" t="n">
        <f aca="false">SUM(C22:C29)</f>
        <v>1170</v>
      </c>
      <c r="D30" s="15" t="n">
        <f aca="false">SUM(D22:D29)</f>
        <v>1540.4</v>
      </c>
      <c r="E30" s="19" t="n">
        <f aca="false">SUM(E22:E29)</f>
        <v>1</v>
      </c>
    </row>
    <row r="31" customFormat="false" ht="15" hidden="false" customHeight="false" outlineLevel="0" collapsed="false">
      <c r="A31" s="20" t="s">
        <v>32</v>
      </c>
      <c r="D31" s="10" t="n">
        <f aca="false">ROUND(B14-D30,2)</f>
        <v>0</v>
      </c>
    </row>
  </sheetData>
  <mergeCells count="1">
    <mergeCell ref="A1:F1"/>
  </mergeCells>
  <conditionalFormatting sqref="D5">
    <cfRule type="cellIs" priority="2" operator="lessThan" aboveAverage="0" equalAverage="0" bottom="0" percent="0" rank="0" text="" dxfId="0">
      <formula>0</formula>
    </cfRule>
  </conditionalFormatting>
  <conditionalFormatting sqref="B15">
    <cfRule type="cellIs" priority="3" operator="lessThan" aboveAverage="0" equalAverage="0" bottom="0" percent="0" rank="0" text="" dxfId="1">
      <formula>0</formula>
    </cfRule>
  </conditionalFormatting>
  <conditionalFormatting sqref="E5">
    <cfRule type="cellIs" priority="4" operator="lessThan" aboveAverage="0" equalAverage="0" bottom="0" percent="0" rank="0" text="" dxfId="1">
      <formula>0.7</formula>
    </cfRule>
    <cfRule type="cellIs" priority="5" operator="between" aboveAverage="0" equalAverage="0" bottom="0" percent="0" rank="0" text="" dxfId="2">
      <formula>0.7</formula>
      <formula>0.8999</formula>
    </cfRule>
    <cfRule type="cellIs" priority="6" operator="greaterThanOrEqual" aboveAverage="0" equalAverage="0" bottom="0" percent="0" rank="0" text="" dxfId="3">
      <formula>0.9</formula>
    </cfRule>
  </conditionalFormatting>
  <conditionalFormatting sqref="B18">
    <cfRule type="cellIs" priority="7" operator="lessThan" aboveAverage="0" equalAverage="0" bottom="0" percent="0" rank="0" text="" dxfId="1">
      <formula>0.7</formula>
    </cfRule>
    <cfRule type="cellIs" priority="8" operator="between" aboveAverage="0" equalAverage="0" bottom="0" percent="0" rank="0" text="" dxfId="2">
      <formula>0.7</formula>
      <formula>0.8999</formula>
    </cfRule>
    <cfRule type="cellIs" priority="9" operator="greaterThanOrEqual" aboveAverage="0" equalAverage="0" bottom="0" percent="0" rank="0" text="" dxfId="3">
      <formula>0.9</formula>
    </cfRule>
  </conditionalFormatting>
  <conditionalFormatting sqref="F5">
    <cfRule type="cellIs" priority="10" operator="greaterThan" aboveAverage="0" equalAverage="0" bottom="0" percent="0" rank="0" text="" dxfId="0">
      <formula>0</formula>
    </cfRule>
  </conditionalFormatting>
  <conditionalFormatting sqref="D31">
    <cfRule type="cellIs" priority="11" operator="not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2" min="10" style="0" width="16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21" t="s">
        <v>33</v>
      </c>
    </row>
    <row r="2" customFormat="false" ht="15" hidden="false" customHeight="false" outlineLevel="0" collapsed="false">
      <c r="A2" s="22" t="s">
        <v>34</v>
      </c>
    </row>
    <row r="4" customFormat="false" ht="42" hidden="false" customHeight="true" outlineLevel="0" collapsed="false">
      <c r="A4" s="5" t="s">
        <v>35</v>
      </c>
      <c r="B4" s="5" t="s">
        <v>36</v>
      </c>
      <c r="C4" s="5" t="s">
        <v>37</v>
      </c>
      <c r="D4" s="5" t="str">
        <f aca="false">IF('Słowniki i Parametry'!G5="","",'Słowniki i Parametry'!G5)</f>
        <v>Składka roczna</v>
      </c>
      <c r="E4" s="5" t="str">
        <f aca="false">IF('Słowniki i Parametry'!G6="","",'Słowniki i Parametry'!G6)</f>
        <v>Wycieczka jesienna</v>
      </c>
      <c r="F4" s="5" t="str">
        <f aca="false">IF('Słowniki i Parametry'!G7="","",'Słowniki i Parametry'!G7)</f>
        <v>Dzień Edukacji Narodowej</v>
      </c>
      <c r="G4" s="5" t="str">
        <f aca="false">IF('Słowniki i Parametry'!G8="","",'Słowniki i Parametry'!G8)</f>
        <v>Mikołajki</v>
      </c>
      <c r="H4" s="5" t="str">
        <f aca="false">IF('Słowniki i Parametry'!G9="","",'Słowniki i Parametry'!G9)</f>
        <v>Wycieczka wiosenna</v>
      </c>
      <c r="I4" s="5" t="str">
        <f aca="false">IF('Słowniki i Parametry'!G10="","",'Słowniki i Parametry'!G10)</f>
        <v>Inna składka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</row>
    <row r="5" customFormat="false" ht="15" hidden="false" customHeight="false" outlineLevel="0" collapsed="false">
      <c r="A5" s="14" t="s">
        <v>43</v>
      </c>
      <c r="B5" s="23"/>
      <c r="C5" s="23"/>
      <c r="D5" s="24" t="n">
        <f aca="false">'Słowniki i Parametry'!H5</f>
        <v>150</v>
      </c>
      <c r="E5" s="24" t="n">
        <f aca="false">'Słowniki i Parametry'!H6</f>
        <v>60</v>
      </c>
      <c r="F5" s="24" t="n">
        <f aca="false">'Słowniki i Parametry'!H7</f>
        <v>15</v>
      </c>
      <c r="G5" s="24" t="n">
        <f aca="false">'Słowniki i Parametry'!H8</f>
        <v>20</v>
      </c>
      <c r="H5" s="24" t="n">
        <f aca="false">'Słowniki i Parametry'!H9</f>
        <v>80</v>
      </c>
      <c r="I5" s="24" t="n">
        <f aca="false">'Słowniki i Parametry'!H10</f>
        <v>0</v>
      </c>
      <c r="J5" s="23"/>
      <c r="K5" s="23"/>
      <c r="L5" s="23"/>
      <c r="M5" s="23"/>
      <c r="N5" s="23"/>
    </row>
    <row r="6" customFormat="false" ht="15" hidden="false" customHeight="false" outlineLevel="0" collapsed="false">
      <c r="A6" s="25" t="n">
        <v>1</v>
      </c>
      <c r="B6" s="26" t="s">
        <v>44</v>
      </c>
      <c r="C6" s="26" t="s">
        <v>45</v>
      </c>
      <c r="D6" s="27" t="n">
        <v>150</v>
      </c>
      <c r="E6" s="27" t="n">
        <v>60</v>
      </c>
      <c r="F6" s="27" t="n">
        <v>15</v>
      </c>
      <c r="G6" s="27" t="n">
        <v>20</v>
      </c>
      <c r="H6" s="27" t="n">
        <v>80</v>
      </c>
      <c r="I6" s="27"/>
      <c r="J6" s="27"/>
      <c r="K6" s="10" t="n">
        <f aca="false">IF($C6="","",SUM($D$5:$I$5)-$J6)</f>
        <v>325</v>
      </c>
      <c r="L6" s="10" t="n">
        <f aca="false">IF($C6="","",SUM(D6:I6))</f>
        <v>325</v>
      </c>
      <c r="M6" s="10" t="n">
        <f aca="false">IF($C6="","",ROUND(L6-K6,2))</f>
        <v>0</v>
      </c>
      <c r="N6" s="28" t="str">
        <f aca="false">IF($C6="","",IF(M6&lt;0,"Zaległość",IF(AND(M6=0,K6&gt;=0),"Zapłacone","Nadpłata")))</f>
        <v>Zapłacone</v>
      </c>
    </row>
    <row r="7" customFormat="false" ht="15" hidden="false" customHeight="false" outlineLevel="0" collapsed="false">
      <c r="A7" s="25" t="n">
        <v>2</v>
      </c>
      <c r="B7" s="26" t="s">
        <v>46</v>
      </c>
      <c r="C7" s="26" t="s">
        <v>47</v>
      </c>
      <c r="D7" s="27" t="n">
        <v>150</v>
      </c>
      <c r="E7" s="27" t="n">
        <v>60</v>
      </c>
      <c r="F7" s="27" t="n">
        <v>15</v>
      </c>
      <c r="G7" s="27" t="n">
        <v>20</v>
      </c>
      <c r="H7" s="27" t="n">
        <v>40</v>
      </c>
      <c r="I7" s="27"/>
      <c r="J7" s="27"/>
      <c r="K7" s="10" t="n">
        <f aca="false">IF($C7="","",SUM($D$5:$I$5)-$J7)</f>
        <v>325</v>
      </c>
      <c r="L7" s="10" t="n">
        <f aca="false">IF($C7="","",SUM(D7:I7))</f>
        <v>285</v>
      </c>
      <c r="M7" s="10" t="n">
        <f aca="false">IF($C7="","",ROUND(L7-K7,2))</f>
        <v>-40</v>
      </c>
      <c r="N7" s="28" t="str">
        <f aca="false">IF($C7="","",IF(M7&lt;0,"Zaległość",IF(AND(M7=0,K7&gt;=0),"Zapłacone","Nadpłata")))</f>
        <v>Zaległość</v>
      </c>
    </row>
    <row r="8" customFormat="false" ht="15" hidden="false" customHeight="false" outlineLevel="0" collapsed="false">
      <c r="A8" s="25" t="n">
        <v>3</v>
      </c>
      <c r="B8" s="26" t="s">
        <v>48</v>
      </c>
      <c r="C8" s="26" t="s">
        <v>49</v>
      </c>
      <c r="D8" s="27" t="n">
        <v>150</v>
      </c>
      <c r="E8" s="27" t="n">
        <v>60</v>
      </c>
      <c r="F8" s="27" t="n">
        <v>15</v>
      </c>
      <c r="G8" s="27" t="n">
        <v>20</v>
      </c>
      <c r="H8" s="27"/>
      <c r="I8" s="27"/>
      <c r="J8" s="27"/>
      <c r="K8" s="10" t="n">
        <f aca="false">IF($C8="","",SUM($D$5:$I$5)-$J8)</f>
        <v>325</v>
      </c>
      <c r="L8" s="10" t="n">
        <f aca="false">IF($C8="","",SUM(D8:I8))</f>
        <v>245</v>
      </c>
      <c r="M8" s="10" t="n">
        <f aca="false">IF($C8="","",ROUND(L8-K8,2))</f>
        <v>-80</v>
      </c>
      <c r="N8" s="28" t="str">
        <f aca="false">IF($C8="","",IF(M8&lt;0,"Zaległość",IF(AND(M8=0,K8&gt;=0),"Zapłacone","Nadpłata")))</f>
        <v>Zaległość</v>
      </c>
    </row>
    <row r="9" customFormat="false" ht="15" hidden="false" customHeight="false" outlineLevel="0" collapsed="false">
      <c r="A9" s="25" t="n">
        <v>4</v>
      </c>
      <c r="B9" s="26" t="s">
        <v>50</v>
      </c>
      <c r="C9" s="26" t="s">
        <v>51</v>
      </c>
      <c r="D9" s="27" t="n">
        <v>150</v>
      </c>
      <c r="E9" s="27" t="n">
        <v>60</v>
      </c>
      <c r="F9" s="27" t="n">
        <v>15</v>
      </c>
      <c r="G9" s="27" t="n">
        <v>20</v>
      </c>
      <c r="H9" s="27" t="n">
        <v>80</v>
      </c>
      <c r="I9" s="27"/>
      <c r="J9" s="27"/>
      <c r="K9" s="10" t="n">
        <f aca="false">IF($C9="","",SUM($D$5:$I$5)-$J9)</f>
        <v>325</v>
      </c>
      <c r="L9" s="10" t="n">
        <f aca="false">IF($C9="","",SUM(D9:I9))</f>
        <v>325</v>
      </c>
      <c r="M9" s="10" t="n">
        <f aca="false">IF($C9="","",ROUND(L9-K9,2))</f>
        <v>0</v>
      </c>
      <c r="N9" s="28" t="str">
        <f aca="false">IF($C9="","",IF(M9&lt;0,"Zaległość",IF(AND(M9=0,K9&gt;=0),"Zapłacone","Nadpłata")))</f>
        <v>Zapłacone</v>
      </c>
    </row>
    <row r="10" customFormat="false" ht="15" hidden="false" customHeight="false" outlineLevel="0" collapsed="false">
      <c r="A10" s="25" t="n">
        <v>5</v>
      </c>
      <c r="B10" s="26" t="s">
        <v>52</v>
      </c>
      <c r="C10" s="26" t="s">
        <v>53</v>
      </c>
      <c r="D10" s="27" t="n">
        <v>150</v>
      </c>
      <c r="E10" s="27"/>
      <c r="F10" s="27" t="n">
        <v>15</v>
      </c>
      <c r="G10" s="27"/>
      <c r="H10" s="27"/>
      <c r="I10" s="27"/>
      <c r="J10" s="27"/>
      <c r="K10" s="10" t="n">
        <f aca="false">IF($C10="","",SUM($D$5:$I$5)-$J10)</f>
        <v>325</v>
      </c>
      <c r="L10" s="10" t="n">
        <f aca="false">IF($C10="","",SUM(D10:I10))</f>
        <v>165</v>
      </c>
      <c r="M10" s="10" t="n">
        <f aca="false">IF($C10="","",ROUND(L10-K10,2))</f>
        <v>-160</v>
      </c>
      <c r="N10" s="28" t="str">
        <f aca="false">IF($C10="","",IF(M10&lt;0,"Zaległość",IF(AND(M10=0,K10&gt;=0),"Zapłacone","Nadpłata")))</f>
        <v>Zaległość</v>
      </c>
    </row>
    <row r="11" customFormat="false" ht="15" hidden="false" customHeight="false" outlineLevel="0" collapsed="false">
      <c r="A11" s="25" t="n">
        <v>6</v>
      </c>
      <c r="B11" s="26" t="s">
        <v>54</v>
      </c>
      <c r="C11" s="26" t="s">
        <v>55</v>
      </c>
      <c r="D11" s="27" t="n">
        <v>150</v>
      </c>
      <c r="E11" s="27" t="n">
        <v>60</v>
      </c>
      <c r="F11" s="27" t="n">
        <v>15</v>
      </c>
      <c r="G11" s="27" t="n">
        <v>20</v>
      </c>
      <c r="H11" s="27" t="n">
        <v>100</v>
      </c>
      <c r="I11" s="27"/>
      <c r="J11" s="27"/>
      <c r="K11" s="10" t="n">
        <f aca="false">IF($C11="","",SUM($D$5:$I$5)-$J11)</f>
        <v>325</v>
      </c>
      <c r="L11" s="10" t="n">
        <f aca="false">IF($C11="","",SUM(D11:I11))</f>
        <v>345</v>
      </c>
      <c r="M11" s="10" t="n">
        <f aca="false">IF($C11="","",ROUND(L11-K11,2))</f>
        <v>20</v>
      </c>
      <c r="N11" s="28" t="str">
        <f aca="false">IF($C11="","",IF(M11&lt;0,"Zaległość",IF(AND(M11=0,K11&gt;=0),"Zapłacone","Nadpłata")))</f>
        <v>Nadpłata</v>
      </c>
    </row>
    <row r="12" customFormat="false" ht="15" hidden="false" customHeight="false" outlineLevel="0" collapsed="false">
      <c r="A12" s="25" t="n">
        <v>7</v>
      </c>
      <c r="B12" s="26" t="s">
        <v>56</v>
      </c>
      <c r="C12" s="26" t="s">
        <v>57</v>
      </c>
      <c r="D12" s="27" t="n">
        <v>100</v>
      </c>
      <c r="E12" s="27" t="n">
        <v>60</v>
      </c>
      <c r="F12" s="27" t="n">
        <v>15</v>
      </c>
      <c r="G12" s="27" t="n">
        <v>20</v>
      </c>
      <c r="H12" s="27"/>
      <c r="I12" s="27"/>
      <c r="J12" s="27"/>
      <c r="K12" s="10" t="n">
        <f aca="false">IF($C12="","",SUM($D$5:$I$5)-$J12)</f>
        <v>325</v>
      </c>
      <c r="L12" s="10" t="n">
        <f aca="false">IF($C12="","",SUM(D12:I12))</f>
        <v>195</v>
      </c>
      <c r="M12" s="10" t="n">
        <f aca="false">IF($C12="","",ROUND(L12-K12,2))</f>
        <v>-130</v>
      </c>
      <c r="N12" s="28" t="str">
        <f aca="false">IF($C12="","",IF(M12&lt;0,"Zaległość",IF(AND(M12=0,K12&gt;=0),"Zapłacone","Nadpłata")))</f>
        <v>Zaległość</v>
      </c>
    </row>
    <row r="13" customFormat="false" ht="15" hidden="false" customHeight="false" outlineLevel="0" collapsed="false">
      <c r="A13" s="25" t="n">
        <v>8</v>
      </c>
      <c r="B13" s="26" t="s">
        <v>58</v>
      </c>
      <c r="C13" s="26" t="s">
        <v>59</v>
      </c>
      <c r="D13" s="27" t="n">
        <v>150</v>
      </c>
      <c r="E13" s="27" t="n">
        <v>60</v>
      </c>
      <c r="F13" s="27" t="n">
        <v>15</v>
      </c>
      <c r="G13" s="27" t="n">
        <v>20</v>
      </c>
      <c r="H13" s="27" t="n">
        <v>80</v>
      </c>
      <c r="I13" s="27"/>
      <c r="J13" s="27"/>
      <c r="K13" s="10" t="n">
        <f aca="false">IF($C13="","",SUM($D$5:$I$5)-$J13)</f>
        <v>325</v>
      </c>
      <c r="L13" s="10" t="n">
        <f aca="false">IF($C13="","",SUM(D13:I13))</f>
        <v>325</v>
      </c>
      <c r="M13" s="10" t="n">
        <f aca="false">IF($C13="","",ROUND(L13-K13,2))</f>
        <v>0</v>
      </c>
      <c r="N13" s="28" t="str">
        <f aca="false">IF($C13="","",IF(M13&lt;0,"Zaległość",IF(AND(M13=0,K13&gt;=0),"Zapłacone","Nadpłata")))</f>
        <v>Zapłacone</v>
      </c>
    </row>
    <row r="14" customFormat="false" ht="15" hidden="false" customHeight="false" outlineLevel="0" collapsed="false">
      <c r="A14" s="25" t="n">
        <v>9</v>
      </c>
      <c r="B14" s="26" t="s">
        <v>60</v>
      </c>
      <c r="C14" s="26" t="s">
        <v>61</v>
      </c>
      <c r="D14" s="27" t="n">
        <v>150</v>
      </c>
      <c r="E14" s="27" t="n">
        <v>60</v>
      </c>
      <c r="F14" s="27" t="n">
        <v>15</v>
      </c>
      <c r="G14" s="27" t="n">
        <v>20</v>
      </c>
      <c r="H14" s="27" t="n">
        <v>80</v>
      </c>
      <c r="I14" s="27"/>
      <c r="J14" s="27"/>
      <c r="K14" s="10" t="n">
        <f aca="false">IF($C14="","",SUM($D$5:$I$5)-$J14)</f>
        <v>325</v>
      </c>
      <c r="L14" s="10" t="n">
        <f aca="false">IF($C14="","",SUM(D14:I14))</f>
        <v>325</v>
      </c>
      <c r="M14" s="10" t="n">
        <f aca="false">IF($C14="","",ROUND(L14-K14,2))</f>
        <v>0</v>
      </c>
      <c r="N14" s="28" t="str">
        <f aca="false">IF($C14="","",IF(M14&lt;0,"Zaległość",IF(AND(M14=0,K14&gt;=0),"Zapłacone","Nadpłata")))</f>
        <v>Zapłacone</v>
      </c>
    </row>
    <row r="15" customFormat="false" ht="15" hidden="false" customHeight="false" outlineLevel="0" collapsed="false">
      <c r="A15" s="25" t="n">
        <v>10</v>
      </c>
      <c r="B15" s="26" t="s">
        <v>62</v>
      </c>
      <c r="C15" s="26" t="s">
        <v>63</v>
      </c>
      <c r="D15" s="27" t="n">
        <v>150</v>
      </c>
      <c r="E15" s="27" t="n">
        <v>60</v>
      </c>
      <c r="F15" s="27"/>
      <c r="G15" s="27" t="n">
        <v>20</v>
      </c>
      <c r="H15" s="27" t="n">
        <v>80</v>
      </c>
      <c r="I15" s="27"/>
      <c r="J15" s="27"/>
      <c r="K15" s="10" t="n">
        <f aca="false">IF($C15="","",SUM($D$5:$I$5)-$J15)</f>
        <v>325</v>
      </c>
      <c r="L15" s="10" t="n">
        <f aca="false">IF($C15="","",SUM(D15:I15))</f>
        <v>310</v>
      </c>
      <c r="M15" s="10" t="n">
        <f aca="false">IF($C15="","",ROUND(L15-K15,2))</f>
        <v>-15</v>
      </c>
      <c r="N15" s="28" t="str">
        <f aca="false">IF($C15="","",IF(M15&lt;0,"Zaległość",IF(AND(M15=0,K15&gt;=0),"Zapłacone","Nadpłata")))</f>
        <v>Zaległość</v>
      </c>
    </row>
    <row r="16" customFormat="false" ht="15" hidden="false" customHeight="false" outlineLevel="0" collapsed="false">
      <c r="A16" s="25" t="n">
        <v>11</v>
      </c>
      <c r="B16" s="26" t="s">
        <v>64</v>
      </c>
      <c r="C16" s="26" t="s">
        <v>65</v>
      </c>
      <c r="D16" s="27" t="n">
        <v>150</v>
      </c>
      <c r="E16" s="27" t="n">
        <v>60</v>
      </c>
      <c r="F16" s="27" t="n">
        <v>15</v>
      </c>
      <c r="G16" s="27" t="n">
        <v>20</v>
      </c>
      <c r="H16" s="27" t="n">
        <v>80</v>
      </c>
      <c r="I16" s="27"/>
      <c r="J16" s="27"/>
      <c r="K16" s="10" t="n">
        <f aca="false">IF($C16="","",SUM($D$5:$I$5)-$J16)</f>
        <v>325</v>
      </c>
      <c r="L16" s="10" t="n">
        <f aca="false">IF($C16="","",SUM(D16:I16))</f>
        <v>325</v>
      </c>
      <c r="M16" s="10" t="n">
        <f aca="false">IF($C16="","",ROUND(L16-K16,2))</f>
        <v>0</v>
      </c>
      <c r="N16" s="28" t="str">
        <f aca="false">IF($C16="","",IF(M16&lt;0,"Zaległość",IF(AND(M16=0,K16&gt;=0),"Zapłacone","Nadpłata")))</f>
        <v>Zapłacone</v>
      </c>
    </row>
    <row r="17" customFormat="false" ht="15" hidden="false" customHeight="false" outlineLevel="0" collapsed="false">
      <c r="A17" s="25" t="n">
        <v>12</v>
      </c>
      <c r="B17" s="26" t="s">
        <v>66</v>
      </c>
      <c r="C17" s="26" t="s">
        <v>67</v>
      </c>
      <c r="D17" s="27" t="n">
        <v>150</v>
      </c>
      <c r="E17" s="27" t="n">
        <v>60</v>
      </c>
      <c r="F17" s="27" t="n">
        <v>15</v>
      </c>
      <c r="G17" s="27" t="n">
        <v>20</v>
      </c>
      <c r="H17" s="27" t="n">
        <v>80</v>
      </c>
      <c r="I17" s="27"/>
      <c r="J17" s="27"/>
      <c r="K17" s="10" t="n">
        <f aca="false">IF($C17="","",SUM($D$5:$I$5)-$J17)</f>
        <v>325</v>
      </c>
      <c r="L17" s="10" t="n">
        <f aca="false">IF($C17="","",SUM(D17:I17))</f>
        <v>325</v>
      </c>
      <c r="M17" s="10" t="n">
        <f aca="false">IF($C17="","",ROUND(L17-K17,2))</f>
        <v>0</v>
      </c>
      <c r="N17" s="28" t="str">
        <f aca="false">IF($C17="","",IF(M17&lt;0,"Zaległość",IF(AND(M17=0,K17&gt;=0),"Zapłacone","Nadpłata")))</f>
        <v>Zapłacone</v>
      </c>
    </row>
    <row r="18" customFormat="false" ht="15" hidden="false" customHeight="false" outlineLevel="0" collapsed="false">
      <c r="A18" s="25" t="n">
        <v>13</v>
      </c>
      <c r="B18" s="26"/>
      <c r="C18" s="26"/>
      <c r="D18" s="27"/>
      <c r="E18" s="27"/>
      <c r="F18" s="27"/>
      <c r="G18" s="27"/>
      <c r="H18" s="27"/>
      <c r="I18" s="27"/>
      <c r="J18" s="27"/>
      <c r="K18" s="10" t="str">
        <f aca="false">IF($C18="","",SUM($D$5:$I$5)-$J18)</f>
        <v/>
      </c>
      <c r="L18" s="10" t="str">
        <f aca="false">IF($C18="","",SUM(D18:I18))</f>
        <v/>
      </c>
      <c r="M18" s="10" t="str">
        <f aca="false">IF($C18="","",ROUND(L18-K18,2))</f>
        <v/>
      </c>
      <c r="N18" s="28" t="str">
        <f aca="false">IF($C18="","",IF(M18&lt;0,"Zaległość",IF(AND(M18=0,K18&gt;=0),"Zapłacone","Nadpłata")))</f>
        <v/>
      </c>
    </row>
    <row r="19" customFormat="false" ht="15" hidden="false" customHeight="false" outlineLevel="0" collapsed="false">
      <c r="A19" s="25" t="n">
        <v>14</v>
      </c>
      <c r="B19" s="26"/>
      <c r="C19" s="26"/>
      <c r="D19" s="27"/>
      <c r="E19" s="27"/>
      <c r="F19" s="27"/>
      <c r="G19" s="27"/>
      <c r="H19" s="27"/>
      <c r="I19" s="27"/>
      <c r="J19" s="27"/>
      <c r="K19" s="10" t="str">
        <f aca="false">IF($C19="","",SUM($D$5:$I$5)-$J19)</f>
        <v/>
      </c>
      <c r="L19" s="10" t="str">
        <f aca="false">IF($C19="","",SUM(D19:I19))</f>
        <v/>
      </c>
      <c r="M19" s="10" t="str">
        <f aca="false">IF($C19="","",ROUND(L19-K19,2))</f>
        <v/>
      </c>
      <c r="N19" s="28" t="str">
        <f aca="false">IF($C19="","",IF(M19&lt;0,"Zaległość",IF(AND(M19=0,K19&gt;=0),"Zapłacone","Nadpłata")))</f>
        <v/>
      </c>
    </row>
    <row r="20" customFormat="false" ht="15" hidden="false" customHeight="false" outlineLevel="0" collapsed="false">
      <c r="A20" s="25" t="n">
        <v>15</v>
      </c>
      <c r="B20" s="26"/>
      <c r="C20" s="26"/>
      <c r="D20" s="27"/>
      <c r="E20" s="27"/>
      <c r="F20" s="27"/>
      <c r="G20" s="27"/>
      <c r="H20" s="27"/>
      <c r="I20" s="27"/>
      <c r="J20" s="27"/>
      <c r="K20" s="10" t="str">
        <f aca="false">IF($C20="","",SUM($D$5:$I$5)-$J20)</f>
        <v/>
      </c>
      <c r="L20" s="10" t="str">
        <f aca="false">IF($C20="","",SUM(D20:I20))</f>
        <v/>
      </c>
      <c r="M20" s="10" t="str">
        <f aca="false">IF($C20="","",ROUND(L20-K20,2))</f>
        <v/>
      </c>
      <c r="N20" s="28" t="str">
        <f aca="false">IF($C20="","",IF(M20&lt;0,"Zaległość",IF(AND(M20=0,K20&gt;=0),"Zapłacone","Nadpłata")))</f>
        <v/>
      </c>
    </row>
    <row r="21" customFormat="false" ht="15" hidden="false" customHeight="false" outlineLevel="0" collapsed="false">
      <c r="A21" s="25" t="n">
        <v>16</v>
      </c>
      <c r="B21" s="26"/>
      <c r="C21" s="26"/>
      <c r="D21" s="27"/>
      <c r="E21" s="27"/>
      <c r="F21" s="27"/>
      <c r="G21" s="27"/>
      <c r="H21" s="27"/>
      <c r="I21" s="27"/>
      <c r="J21" s="27"/>
      <c r="K21" s="10" t="str">
        <f aca="false">IF($C21="","",SUM($D$5:$I$5)-$J21)</f>
        <v/>
      </c>
      <c r="L21" s="10" t="str">
        <f aca="false">IF($C21="","",SUM(D21:I21))</f>
        <v/>
      </c>
      <c r="M21" s="10" t="str">
        <f aca="false">IF($C21="","",ROUND(L21-K21,2))</f>
        <v/>
      </c>
      <c r="N21" s="28" t="str">
        <f aca="false">IF($C21="","",IF(M21&lt;0,"Zaległość",IF(AND(M21=0,K21&gt;=0),"Zapłacone","Nadpłata")))</f>
        <v/>
      </c>
    </row>
    <row r="22" customFormat="false" ht="15" hidden="false" customHeight="false" outlineLevel="0" collapsed="false">
      <c r="A22" s="25" t="n">
        <v>17</v>
      </c>
      <c r="B22" s="26"/>
      <c r="C22" s="26"/>
      <c r="D22" s="27"/>
      <c r="E22" s="27"/>
      <c r="F22" s="27"/>
      <c r="G22" s="27"/>
      <c r="H22" s="27"/>
      <c r="I22" s="27"/>
      <c r="J22" s="27"/>
      <c r="K22" s="10" t="str">
        <f aca="false">IF($C22="","",SUM($D$5:$I$5)-$J22)</f>
        <v/>
      </c>
      <c r="L22" s="10" t="str">
        <f aca="false">IF($C22="","",SUM(D22:I22))</f>
        <v/>
      </c>
      <c r="M22" s="10" t="str">
        <f aca="false">IF($C22="","",ROUND(L22-K22,2))</f>
        <v/>
      </c>
      <c r="N22" s="28" t="str">
        <f aca="false">IF($C22="","",IF(M22&lt;0,"Zaległość",IF(AND(M22=0,K22&gt;=0),"Zapłacone","Nadpłata")))</f>
        <v/>
      </c>
    </row>
    <row r="23" customFormat="false" ht="15" hidden="false" customHeight="false" outlineLevel="0" collapsed="false">
      <c r="A23" s="25" t="n">
        <v>18</v>
      </c>
      <c r="B23" s="26"/>
      <c r="C23" s="26"/>
      <c r="D23" s="27"/>
      <c r="E23" s="27"/>
      <c r="F23" s="27"/>
      <c r="G23" s="27"/>
      <c r="H23" s="27"/>
      <c r="I23" s="27"/>
      <c r="J23" s="27"/>
      <c r="K23" s="10" t="str">
        <f aca="false">IF($C23="","",SUM($D$5:$I$5)-$J23)</f>
        <v/>
      </c>
      <c r="L23" s="10" t="str">
        <f aca="false">IF($C23="","",SUM(D23:I23))</f>
        <v/>
      </c>
      <c r="M23" s="10" t="str">
        <f aca="false">IF($C23="","",ROUND(L23-K23,2))</f>
        <v/>
      </c>
      <c r="N23" s="28" t="str">
        <f aca="false">IF($C23="","",IF(M23&lt;0,"Zaległość",IF(AND(M23=0,K23&gt;=0),"Zapłacone","Nadpłata")))</f>
        <v/>
      </c>
    </row>
    <row r="24" customFormat="false" ht="15" hidden="false" customHeight="false" outlineLevel="0" collapsed="false">
      <c r="A24" s="25" t="n">
        <v>19</v>
      </c>
      <c r="B24" s="26"/>
      <c r="C24" s="26"/>
      <c r="D24" s="27"/>
      <c r="E24" s="27"/>
      <c r="F24" s="27"/>
      <c r="G24" s="27"/>
      <c r="H24" s="27"/>
      <c r="I24" s="27"/>
      <c r="J24" s="27"/>
      <c r="K24" s="10" t="str">
        <f aca="false">IF($C24="","",SUM($D$5:$I$5)-$J24)</f>
        <v/>
      </c>
      <c r="L24" s="10" t="str">
        <f aca="false">IF($C24="","",SUM(D24:I24))</f>
        <v/>
      </c>
      <c r="M24" s="10" t="str">
        <f aca="false">IF($C24="","",ROUND(L24-K24,2))</f>
        <v/>
      </c>
      <c r="N24" s="28" t="str">
        <f aca="false">IF($C24="","",IF(M24&lt;0,"Zaległość",IF(AND(M24=0,K24&gt;=0),"Zapłacone","Nadpłata")))</f>
        <v/>
      </c>
    </row>
    <row r="25" customFormat="false" ht="15" hidden="false" customHeight="false" outlineLevel="0" collapsed="false">
      <c r="A25" s="25" t="n">
        <v>20</v>
      </c>
      <c r="B25" s="26"/>
      <c r="C25" s="26"/>
      <c r="D25" s="27"/>
      <c r="E25" s="27"/>
      <c r="F25" s="27"/>
      <c r="G25" s="27"/>
      <c r="H25" s="27"/>
      <c r="I25" s="27"/>
      <c r="J25" s="27"/>
      <c r="K25" s="10" t="str">
        <f aca="false">IF($C25="","",SUM($D$5:$I$5)-$J25)</f>
        <v/>
      </c>
      <c r="L25" s="10" t="str">
        <f aca="false">IF($C25="","",SUM(D25:I25))</f>
        <v/>
      </c>
      <c r="M25" s="10" t="str">
        <f aca="false">IF($C25="","",ROUND(L25-K25,2))</f>
        <v/>
      </c>
      <c r="N25" s="28" t="str">
        <f aca="false">IF($C25="","",IF(M25&lt;0,"Zaległość",IF(AND(M25=0,K25&gt;=0),"Zapłacone","Nadpłata")))</f>
        <v/>
      </c>
    </row>
    <row r="26" customFormat="false" ht="15" hidden="false" customHeight="false" outlineLevel="0" collapsed="false">
      <c r="A26" s="25" t="n">
        <v>21</v>
      </c>
      <c r="B26" s="26"/>
      <c r="C26" s="26"/>
      <c r="D26" s="27"/>
      <c r="E26" s="27"/>
      <c r="F26" s="27"/>
      <c r="G26" s="27"/>
      <c r="H26" s="27"/>
      <c r="I26" s="27"/>
      <c r="J26" s="27"/>
      <c r="K26" s="10" t="str">
        <f aca="false">IF($C26="","",SUM($D$5:$I$5)-$J26)</f>
        <v/>
      </c>
      <c r="L26" s="10" t="str">
        <f aca="false">IF($C26="","",SUM(D26:I26))</f>
        <v/>
      </c>
      <c r="M26" s="10" t="str">
        <f aca="false">IF($C26="","",ROUND(L26-K26,2))</f>
        <v/>
      </c>
      <c r="N26" s="28" t="str">
        <f aca="false">IF($C26="","",IF(M26&lt;0,"Zaległość",IF(AND(M26=0,K26&gt;=0),"Zapłacone","Nadpłata")))</f>
        <v/>
      </c>
    </row>
    <row r="27" customFormat="false" ht="15" hidden="false" customHeight="false" outlineLevel="0" collapsed="false">
      <c r="A27" s="25" t="n">
        <v>22</v>
      </c>
      <c r="B27" s="26"/>
      <c r="C27" s="26"/>
      <c r="D27" s="27"/>
      <c r="E27" s="27"/>
      <c r="F27" s="27"/>
      <c r="G27" s="27"/>
      <c r="H27" s="27"/>
      <c r="I27" s="27"/>
      <c r="J27" s="27"/>
      <c r="K27" s="10" t="str">
        <f aca="false">IF($C27="","",SUM($D$5:$I$5)-$J27)</f>
        <v/>
      </c>
      <c r="L27" s="10" t="str">
        <f aca="false">IF($C27="","",SUM(D27:I27))</f>
        <v/>
      </c>
      <c r="M27" s="10" t="str">
        <f aca="false">IF($C27="","",ROUND(L27-K27,2))</f>
        <v/>
      </c>
      <c r="N27" s="28" t="str">
        <f aca="false">IF($C27="","",IF(M27&lt;0,"Zaległość",IF(AND(M27=0,K27&gt;=0),"Zapłacone","Nadpłata")))</f>
        <v/>
      </c>
    </row>
    <row r="28" customFormat="false" ht="15" hidden="false" customHeight="false" outlineLevel="0" collapsed="false">
      <c r="A28" s="25" t="n">
        <v>23</v>
      </c>
      <c r="B28" s="26"/>
      <c r="C28" s="26"/>
      <c r="D28" s="27"/>
      <c r="E28" s="27"/>
      <c r="F28" s="27"/>
      <c r="G28" s="27"/>
      <c r="H28" s="27"/>
      <c r="I28" s="27"/>
      <c r="J28" s="27"/>
      <c r="K28" s="10" t="str">
        <f aca="false">IF($C28="","",SUM($D$5:$I$5)-$J28)</f>
        <v/>
      </c>
      <c r="L28" s="10" t="str">
        <f aca="false">IF($C28="","",SUM(D28:I28))</f>
        <v/>
      </c>
      <c r="M28" s="10" t="str">
        <f aca="false">IF($C28="","",ROUND(L28-K28,2))</f>
        <v/>
      </c>
      <c r="N28" s="28" t="str">
        <f aca="false">IF($C28="","",IF(M28&lt;0,"Zaległość",IF(AND(M28=0,K28&gt;=0),"Zapłacone","Nadpłata")))</f>
        <v/>
      </c>
    </row>
    <row r="29" customFormat="false" ht="15" hidden="false" customHeight="false" outlineLevel="0" collapsed="false">
      <c r="A29" s="25" t="n">
        <v>24</v>
      </c>
      <c r="B29" s="26"/>
      <c r="C29" s="26"/>
      <c r="D29" s="27"/>
      <c r="E29" s="27"/>
      <c r="F29" s="27"/>
      <c r="G29" s="27"/>
      <c r="H29" s="27"/>
      <c r="I29" s="27"/>
      <c r="J29" s="27"/>
      <c r="K29" s="10" t="str">
        <f aca="false">IF($C29="","",SUM($D$5:$I$5)-$J29)</f>
        <v/>
      </c>
      <c r="L29" s="10" t="str">
        <f aca="false">IF($C29="","",SUM(D29:I29))</f>
        <v/>
      </c>
      <c r="M29" s="10" t="str">
        <f aca="false">IF($C29="","",ROUND(L29-K29,2))</f>
        <v/>
      </c>
      <c r="N29" s="28" t="str">
        <f aca="false">IF($C29="","",IF(M29&lt;0,"Zaległość",IF(AND(M29=0,K29&gt;=0),"Zapłacone","Nadpłata")))</f>
        <v/>
      </c>
    </row>
    <row r="30" customFormat="false" ht="15" hidden="false" customHeight="false" outlineLevel="0" collapsed="false">
      <c r="A30" s="25" t="n">
        <v>25</v>
      </c>
      <c r="B30" s="26"/>
      <c r="C30" s="26"/>
      <c r="D30" s="27"/>
      <c r="E30" s="27"/>
      <c r="F30" s="27"/>
      <c r="G30" s="27"/>
      <c r="H30" s="27"/>
      <c r="I30" s="27"/>
      <c r="J30" s="27"/>
      <c r="K30" s="10" t="str">
        <f aca="false">IF($C30="","",SUM($D$5:$I$5)-$J30)</f>
        <v/>
      </c>
      <c r="L30" s="10" t="str">
        <f aca="false">IF($C30="","",SUM(D30:I30))</f>
        <v/>
      </c>
      <c r="M30" s="10" t="str">
        <f aca="false">IF($C30="","",ROUND(L30-K30,2))</f>
        <v/>
      </c>
      <c r="N30" s="28" t="str">
        <f aca="false">IF($C30="","",IF(M30&lt;0,"Zaległość",IF(AND(M30=0,K30&gt;=0),"Zapłacone","Nadpłata")))</f>
        <v/>
      </c>
    </row>
    <row r="31" customFormat="false" ht="15" hidden="false" customHeight="false" outlineLevel="0" collapsed="false">
      <c r="A31" s="25" t="n">
        <v>26</v>
      </c>
      <c r="B31" s="26"/>
      <c r="C31" s="26"/>
      <c r="D31" s="27"/>
      <c r="E31" s="27"/>
      <c r="F31" s="27"/>
      <c r="G31" s="27"/>
      <c r="H31" s="27"/>
      <c r="I31" s="27"/>
      <c r="J31" s="27"/>
      <c r="K31" s="10" t="str">
        <f aca="false">IF($C31="","",SUM($D$5:$I$5)-$J31)</f>
        <v/>
      </c>
      <c r="L31" s="10" t="str">
        <f aca="false">IF($C31="","",SUM(D31:I31))</f>
        <v/>
      </c>
      <c r="M31" s="10" t="str">
        <f aca="false">IF($C31="","",ROUND(L31-K31,2))</f>
        <v/>
      </c>
      <c r="N31" s="28" t="str">
        <f aca="false">IF($C31="","",IF(M31&lt;0,"Zaległość",IF(AND(M31=0,K31&gt;=0),"Zapłacone","Nadpłata")))</f>
        <v/>
      </c>
    </row>
    <row r="32" customFormat="false" ht="15" hidden="false" customHeight="false" outlineLevel="0" collapsed="false">
      <c r="A32" s="25" t="n">
        <v>27</v>
      </c>
      <c r="B32" s="26"/>
      <c r="C32" s="26"/>
      <c r="D32" s="27"/>
      <c r="E32" s="27"/>
      <c r="F32" s="27"/>
      <c r="G32" s="27"/>
      <c r="H32" s="27"/>
      <c r="I32" s="27"/>
      <c r="J32" s="27"/>
      <c r="K32" s="10" t="str">
        <f aca="false">IF($C32="","",SUM($D$5:$I$5)-$J32)</f>
        <v/>
      </c>
      <c r="L32" s="10" t="str">
        <f aca="false">IF($C32="","",SUM(D32:I32))</f>
        <v/>
      </c>
      <c r="M32" s="10" t="str">
        <f aca="false">IF($C32="","",ROUND(L32-K32,2))</f>
        <v/>
      </c>
      <c r="N32" s="28" t="str">
        <f aca="false">IF($C32="","",IF(M32&lt;0,"Zaległość",IF(AND(M32=0,K32&gt;=0),"Zapłacone","Nadpłata")))</f>
        <v/>
      </c>
    </row>
    <row r="33" customFormat="false" ht="15" hidden="false" customHeight="false" outlineLevel="0" collapsed="false">
      <c r="A33" s="25" t="n">
        <v>28</v>
      </c>
      <c r="B33" s="26"/>
      <c r="C33" s="26"/>
      <c r="D33" s="27"/>
      <c r="E33" s="27"/>
      <c r="F33" s="27"/>
      <c r="G33" s="27"/>
      <c r="H33" s="27"/>
      <c r="I33" s="27"/>
      <c r="J33" s="27"/>
      <c r="K33" s="10" t="str">
        <f aca="false">IF($C33="","",SUM($D$5:$I$5)-$J33)</f>
        <v/>
      </c>
      <c r="L33" s="10" t="str">
        <f aca="false">IF($C33="","",SUM(D33:I33))</f>
        <v/>
      </c>
      <c r="M33" s="10" t="str">
        <f aca="false">IF($C33="","",ROUND(L33-K33,2))</f>
        <v/>
      </c>
      <c r="N33" s="28" t="str">
        <f aca="false">IF($C33="","",IF(M33&lt;0,"Zaległość",IF(AND(M33=0,K33&gt;=0),"Zapłacone","Nadpłata")))</f>
        <v/>
      </c>
    </row>
    <row r="34" customFormat="false" ht="15" hidden="false" customHeight="false" outlineLevel="0" collapsed="false">
      <c r="A34" s="25" t="n">
        <v>29</v>
      </c>
      <c r="B34" s="26"/>
      <c r="C34" s="26"/>
      <c r="D34" s="27"/>
      <c r="E34" s="27"/>
      <c r="F34" s="27"/>
      <c r="G34" s="27"/>
      <c r="H34" s="27"/>
      <c r="I34" s="27"/>
      <c r="J34" s="27"/>
      <c r="K34" s="10" t="str">
        <f aca="false">IF($C34="","",SUM($D$5:$I$5)-$J34)</f>
        <v/>
      </c>
      <c r="L34" s="10" t="str">
        <f aca="false">IF($C34="","",SUM(D34:I34))</f>
        <v/>
      </c>
      <c r="M34" s="10" t="str">
        <f aca="false">IF($C34="","",ROUND(L34-K34,2))</f>
        <v/>
      </c>
      <c r="N34" s="28" t="str">
        <f aca="false">IF($C34="","",IF(M34&lt;0,"Zaległość",IF(AND(M34=0,K34&gt;=0),"Zapłacone","Nadpłata")))</f>
        <v/>
      </c>
    </row>
    <row r="35" customFormat="false" ht="15" hidden="false" customHeight="false" outlineLevel="0" collapsed="false">
      <c r="A35" s="25" t="n">
        <v>30</v>
      </c>
      <c r="B35" s="26"/>
      <c r="C35" s="26"/>
      <c r="D35" s="27"/>
      <c r="E35" s="27"/>
      <c r="F35" s="27"/>
      <c r="G35" s="27"/>
      <c r="H35" s="27"/>
      <c r="I35" s="27"/>
      <c r="J35" s="27"/>
      <c r="K35" s="10" t="str">
        <f aca="false">IF($C35="","",SUM($D$5:$I$5)-$J35)</f>
        <v/>
      </c>
      <c r="L35" s="10" t="str">
        <f aca="false">IF($C35="","",SUM(D35:I35))</f>
        <v/>
      </c>
      <c r="M35" s="10" t="str">
        <f aca="false">IF($C35="","",ROUND(L35-K35,2))</f>
        <v/>
      </c>
      <c r="N35" s="28" t="str">
        <f aca="false">IF($C35="","",IF(M35&lt;0,"Zaległość",IF(AND(M35=0,K35&gt;=0),"Zapłacone","Nadpłata")))</f>
        <v/>
      </c>
    </row>
    <row r="37" customFormat="false" ht="15" hidden="false" customHeight="false" outlineLevel="0" collapsed="false">
      <c r="A37" s="14" t="s">
        <v>68</v>
      </c>
      <c r="B37" s="23"/>
      <c r="C37" s="23"/>
      <c r="D37" s="15" t="n">
        <f aca="false">SUM(D6:D35)</f>
        <v>1750</v>
      </c>
      <c r="E37" s="15" t="n">
        <f aca="false">SUM(E6:E35)</f>
        <v>660</v>
      </c>
      <c r="F37" s="15" t="n">
        <f aca="false">SUM(F6:F35)</f>
        <v>165</v>
      </c>
      <c r="G37" s="15" t="n">
        <f aca="false">SUM(G6:G35)</f>
        <v>220</v>
      </c>
      <c r="H37" s="15" t="n">
        <f aca="false">SUM(H6:H35)</f>
        <v>700</v>
      </c>
      <c r="I37" s="15" t="n">
        <f aca="false">SUM(I6:I35)</f>
        <v>0</v>
      </c>
      <c r="J37" s="15" t="n">
        <f aca="false">SUM(J6:J35)</f>
        <v>0</v>
      </c>
      <c r="K37" s="15" t="n">
        <f aca="false">SUM(K6:K35)</f>
        <v>3900</v>
      </c>
      <c r="L37" s="15" t="n">
        <f aca="false">SUM(L6:L35)</f>
        <v>3495</v>
      </c>
      <c r="M37" s="15" t="n">
        <f aca="false">SUM(M6:M35)</f>
        <v>-405</v>
      </c>
      <c r="N37" s="23"/>
    </row>
    <row r="38" customFormat="false" ht="15" hidden="false" customHeight="false" outlineLevel="0" collapsed="false">
      <c r="A38" s="29" t="s">
        <v>69</v>
      </c>
      <c r="B38" s="30"/>
      <c r="C38" s="30"/>
      <c r="D38" s="31" t="n">
        <f aca="false">COUNTIF(D6:D35,"&gt;0")</f>
        <v>12</v>
      </c>
      <c r="E38" s="31" t="n">
        <f aca="false">COUNTIF(E6:E35,"&gt;0")</f>
        <v>11</v>
      </c>
      <c r="F38" s="31" t="n">
        <f aca="false">COUNTIF(F6:F35,"&gt;0")</f>
        <v>11</v>
      </c>
      <c r="G38" s="31" t="n">
        <f aca="false">COUNTIF(G6:G35,"&gt;0")</f>
        <v>11</v>
      </c>
      <c r="H38" s="31" t="n">
        <f aca="false">COUNTIF(H6:H35,"&gt;0")</f>
        <v>9</v>
      </c>
      <c r="I38" s="31" t="n">
        <f aca="false">COUNTIF(I6:I35,"&gt;0")</f>
        <v>0</v>
      </c>
      <c r="L38" s="31" t="n">
        <f aca="false">COUNTIF(L6:L35,"&gt;0")</f>
        <v>12</v>
      </c>
    </row>
    <row r="39" customFormat="false" ht="15" hidden="false" customHeight="false" outlineLevel="0" collapsed="false">
      <c r="A39" s="29" t="s">
        <v>70</v>
      </c>
      <c r="B39" s="30"/>
      <c r="C39" s="30"/>
      <c r="D39" s="32" t="n">
        <f aca="false">IF(D38=0,0,D37/D38)</f>
        <v>145.833333333333</v>
      </c>
      <c r="E39" s="32" t="n">
        <f aca="false">IF(E38=0,0,E37/E38)</f>
        <v>60</v>
      </c>
      <c r="F39" s="32" t="n">
        <f aca="false">IF(F38=0,0,F37/F38)</f>
        <v>15</v>
      </c>
      <c r="G39" s="32" t="n">
        <f aca="false">IF(G38=0,0,G37/G38)</f>
        <v>20</v>
      </c>
      <c r="H39" s="32" t="n">
        <f aca="false">IF(H38=0,0,H37/H38)</f>
        <v>77.7777777777778</v>
      </c>
      <c r="I39" s="32" t="n">
        <f aca="false">IF(I38=0,0,I37/I38)</f>
        <v>0</v>
      </c>
      <c r="L39" s="32" t="n">
        <f aca="false">IF(L38=0,0,L37/L38)</f>
        <v>291.25</v>
      </c>
    </row>
    <row r="40" customFormat="false" ht="15" hidden="false" customHeight="false" outlineLevel="0" collapsed="false">
      <c r="A40" s="29" t="s">
        <v>71</v>
      </c>
      <c r="B40" s="30"/>
      <c r="C40" s="30"/>
      <c r="D40" s="33" t="n">
        <f aca="false">IF(COUNTA($C$6:$C$35)=0,0,D38/COUNTA($C$6:$C$35))</f>
        <v>1</v>
      </c>
      <c r="E40" s="33" t="n">
        <f aca="false">IF(COUNTA($C$6:$C$35)=0,0,E38/COUNTA($C$6:$C$35))</f>
        <v>0.916666666666667</v>
      </c>
      <c r="F40" s="33" t="n">
        <f aca="false">IF(COUNTA($C$6:$C$35)=0,0,F38/COUNTA($C$6:$C$35))</f>
        <v>0.916666666666667</v>
      </c>
      <c r="G40" s="33" t="n">
        <f aca="false">IF(COUNTA($C$6:$C$35)=0,0,G38/COUNTA($C$6:$C$35))</f>
        <v>0.916666666666667</v>
      </c>
      <c r="H40" s="33" t="n">
        <f aca="false">IF(COUNTA($C$6:$C$35)=0,0,H38/COUNTA($C$6:$C$35))</f>
        <v>0.75</v>
      </c>
      <c r="I40" s="33" t="n">
        <f aca="false">IF(COUNTA($C$6:$C$35)=0,0,I38/COUNTA($C$6:$C$35))</f>
        <v>0</v>
      </c>
      <c r="L40" s="33" t="n">
        <f aca="false">IF(COUNTA($C$6:$C$35)=0,0,L38/COUNTA($C$6:$C$35))</f>
        <v>1</v>
      </c>
    </row>
  </sheetData>
  <conditionalFormatting sqref="N6:N35">
    <cfRule type="expression" priority="2" aboveAverage="0" equalAverage="0" bottom="0" percent="0" rank="0" text="" dxfId="5">
      <formula>$N6="Zaległość"</formula>
    </cfRule>
    <cfRule type="expression" priority="3" aboveAverage="0" equalAverage="0" bottom="0" percent="0" rank="0" text="" dxfId="6">
      <formula>$N6="Zapłacone"</formula>
    </cfRule>
    <cfRule type="expression" priority="4" aboveAverage="0" equalAverage="0" bottom="0" percent="0" rank="0" text="" dxfId="7">
      <formula>$N6="Nadpłata"</formula>
    </cfRule>
  </conditionalFormatting>
  <conditionalFormatting sqref="M6:M35">
    <cfRule type="expression" priority="5" aboveAverage="0" equalAverage="0" bottom="0" percent="0" rank="0" text="" dxfId="1">
      <formula>AND(ISNUMBER($M6),$M6&lt;0)</formula>
    </cfRule>
    <cfRule type="expression" priority="6" aboveAverage="0" equalAverage="0" bottom="0" percent="0" rank="0" text="" dxfId="8">
      <formula>AND(ISNUMBER($M6),$M6&gt;0)</formula>
    </cfRule>
  </conditionalFormatting>
  <conditionalFormatting sqref="D6:I35">
    <cfRule type="expression" priority="7" aboveAverage="0" equalAverage="0" bottom="0" percent="0" rank="0" text="" dxfId="9">
      <formula>AND($C6&lt;&gt;"",D$5&gt;0,D6&gt;=D$5)</formula>
    </cfRule>
    <cfRule type="expression" priority="8" aboveAverage="0" equalAverage="0" bottom="0" percent="0" rank="0" text="" dxfId="10">
      <formula>AND($C6&lt;&gt;"",D$5&gt;0,D6&gt;0,D6&lt;D$5)</formula>
    </cfRule>
    <cfRule type="expression" priority="9" aboveAverage="0" equalAverage="0" bottom="0" percent="0" rank="0" text="" dxfId="11">
      <formula>AND($C6&lt;&gt;"",D$5&gt;0,D6=0)</formula>
    </cfRule>
  </conditionalFormatting>
  <dataValidations count="1">
    <dataValidation allowBlank="true" error="Wpisz kwotę (liczbę) nie mniejszą niż 0." errorStyle="stop" errorTitle="Błędna kwota" operator="greaterThanOrEqual" showDropDown="false" showErrorMessage="true" showInputMessage="false" sqref="D6:J3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21" t="s">
        <v>72</v>
      </c>
    </row>
    <row r="2" customFormat="false" ht="15" hidden="false" customHeight="false" outlineLevel="0" collapsed="false">
      <c r="A2" s="22" t="s">
        <v>73</v>
      </c>
    </row>
    <row r="3" customFormat="false" ht="15" hidden="false" customHeight="false" outlineLevel="0" collapsed="false">
      <c r="D3" s="34" t="s">
        <v>74</v>
      </c>
      <c r="E3" s="15" t="n">
        <f aca="false">SUM(E5:E304)</f>
        <v>1540.4</v>
      </c>
    </row>
    <row r="4" customFormat="false" ht="42" hidden="false" customHeight="true" outlineLevel="0" collapsed="false">
      <c r="A4" s="5" t="s">
        <v>75</v>
      </c>
      <c r="B4" s="5" t="s">
        <v>76</v>
      </c>
      <c r="C4" s="5" t="s">
        <v>77</v>
      </c>
      <c r="D4" s="5" t="s">
        <v>28</v>
      </c>
      <c r="E4" s="5" t="s">
        <v>78</v>
      </c>
      <c r="F4" s="5" t="s">
        <v>79</v>
      </c>
      <c r="G4" s="5" t="s">
        <v>80</v>
      </c>
      <c r="H4" s="5" t="s">
        <v>81</v>
      </c>
      <c r="J4" s="5" t="s">
        <v>28</v>
      </c>
      <c r="K4" s="5" t="s">
        <v>82</v>
      </c>
      <c r="L4" s="5" t="s">
        <v>30</v>
      </c>
    </row>
    <row r="5" customFormat="false" ht="15" hidden="false" customHeight="false" outlineLevel="0" collapsed="false">
      <c r="A5" s="35" t="n">
        <v>46277</v>
      </c>
      <c r="B5" s="26" t="s">
        <v>83</v>
      </c>
      <c r="C5" s="26" t="s">
        <v>84</v>
      </c>
      <c r="D5" s="26" t="s">
        <v>85</v>
      </c>
      <c r="E5" s="36" t="n">
        <v>540</v>
      </c>
      <c r="F5" s="26" t="s">
        <v>86</v>
      </c>
      <c r="G5" s="26" t="s">
        <v>87</v>
      </c>
      <c r="H5" s="26"/>
      <c r="J5" s="9" t="str">
        <f aca="false">IF('Słowniki i Parametry'!A5="","",'Słowniki i Parametry'!A5)</f>
        <v>Wycieczki</v>
      </c>
      <c r="K5" s="10" t="n">
        <f aca="false">IF($J5="","",SUMIFS($E$5:$E$304,$D$5:$D$304,$J5))</f>
        <v>1020</v>
      </c>
      <c r="L5" s="16" t="n">
        <f aca="false">IF($J5="","",IF($K$13=0,0,K5/$K$13))</f>
        <v>0.66216567125422</v>
      </c>
    </row>
    <row r="6" customFormat="false" ht="15" hidden="false" customHeight="false" outlineLevel="0" collapsed="false">
      <c r="A6" s="35" t="n">
        <v>46277</v>
      </c>
      <c r="B6" s="26" t="s">
        <v>88</v>
      </c>
      <c r="C6" s="26" t="s">
        <v>89</v>
      </c>
      <c r="D6" s="26" t="s">
        <v>85</v>
      </c>
      <c r="E6" s="36" t="n">
        <v>480</v>
      </c>
      <c r="F6" s="26" t="s">
        <v>86</v>
      </c>
      <c r="G6" s="26" t="s">
        <v>87</v>
      </c>
      <c r="H6" s="26" t="s">
        <v>90</v>
      </c>
      <c r="J6" s="9" t="str">
        <f aca="false">IF('Słowniki i Parametry'!A6="","",'Słowniki i Parametry'!A6)</f>
        <v>Prezenty i drobiazgi</v>
      </c>
      <c r="K6" s="10" t="n">
        <f aca="false">IF($J6="","",SUMIFS($E$5:$E$304,$D$5:$D$304,$J6))</f>
        <v>120</v>
      </c>
      <c r="L6" s="16" t="n">
        <f aca="false">IF($J6="","",IF($K$13=0,0,K6/$K$13))</f>
        <v>0.077901843676967</v>
      </c>
    </row>
    <row r="7" customFormat="false" ht="15" hidden="false" customHeight="false" outlineLevel="0" collapsed="false">
      <c r="A7" s="35" t="n">
        <v>46285</v>
      </c>
      <c r="B7" s="26" t="s">
        <v>91</v>
      </c>
      <c r="C7" s="26" t="s">
        <v>92</v>
      </c>
      <c r="D7" s="26" t="s">
        <v>93</v>
      </c>
      <c r="E7" s="36" t="n">
        <v>185.5</v>
      </c>
      <c r="F7" s="26" t="s">
        <v>94</v>
      </c>
      <c r="G7" s="26" t="s">
        <v>87</v>
      </c>
      <c r="H7" s="26"/>
      <c r="J7" s="9" t="str">
        <f aca="false">IF('Słowniki i Parametry'!A7="","",'Słowniki i Parametry'!A7)</f>
        <v>Materiały naukowe</v>
      </c>
      <c r="K7" s="10" t="n">
        <f aca="false">IF($J7="","",SUMIFS($E$5:$E$304,$D$5:$D$304,$J7))</f>
        <v>250.4</v>
      </c>
      <c r="L7" s="16" t="n">
        <f aca="false">IF($J7="","",IF($K$13=0,0,K7/$K$13))</f>
        <v>0.162555180472605</v>
      </c>
    </row>
    <row r="8" customFormat="false" ht="15" hidden="false" customHeight="false" outlineLevel="0" collapsed="false">
      <c r="A8" s="35" t="n">
        <v>46296</v>
      </c>
      <c r="B8" s="26" t="s">
        <v>95</v>
      </c>
      <c r="C8" s="26" t="s">
        <v>96</v>
      </c>
      <c r="D8" s="26" t="s">
        <v>97</v>
      </c>
      <c r="E8" s="36" t="n">
        <v>120</v>
      </c>
      <c r="F8" s="26" t="s">
        <v>94</v>
      </c>
      <c r="G8" s="26" t="s">
        <v>87</v>
      </c>
      <c r="H8" s="26"/>
      <c r="J8" s="9" t="str">
        <f aca="false">IF('Słowniki i Parametry'!A8="","",'Słowniki i Parametry'!A8)</f>
        <v>Imprezy klasowe</v>
      </c>
      <c r="K8" s="10" t="n">
        <f aca="false">IF($J8="","",SUMIFS($E$5:$E$304,$D$5:$D$304,$J8))</f>
        <v>0</v>
      </c>
      <c r="L8" s="16" t="n">
        <f aca="false">IF($J8="","",IF($K$13=0,0,K8/$K$13))</f>
        <v>0</v>
      </c>
    </row>
    <row r="9" customFormat="false" ht="15" hidden="false" customHeight="false" outlineLevel="0" collapsed="false">
      <c r="A9" s="35" t="n">
        <v>46297</v>
      </c>
      <c r="B9" s="26" t="s">
        <v>98</v>
      </c>
      <c r="C9" s="26" t="s">
        <v>99</v>
      </c>
      <c r="D9" s="26" t="s">
        <v>93</v>
      </c>
      <c r="E9" s="36" t="n">
        <v>64.9</v>
      </c>
      <c r="F9" s="26" t="s">
        <v>94</v>
      </c>
      <c r="G9" s="26" t="s">
        <v>87</v>
      </c>
      <c r="H9" s="26"/>
      <c r="J9" s="9" t="str">
        <f aca="false">IF('Słowniki i Parametry'!A9="","",'Słowniki i Parametry'!A9)</f>
        <v>Fundusz klasowy</v>
      </c>
      <c r="K9" s="10" t="n">
        <f aca="false">IF($J9="","",SUMIFS($E$5:$E$304,$D$5:$D$304,$J9))</f>
        <v>150</v>
      </c>
      <c r="L9" s="16" t="n">
        <f aca="false">IF($J9="","",IF($K$13=0,0,K9/$K$13))</f>
        <v>0.0973773045962088</v>
      </c>
    </row>
    <row r="10" customFormat="false" ht="15" hidden="false" customHeight="false" outlineLevel="0" collapsed="false">
      <c r="A10" s="35" t="n">
        <v>46298</v>
      </c>
      <c r="B10" s="26" t="s">
        <v>100</v>
      </c>
      <c r="C10" s="26" t="s">
        <v>101</v>
      </c>
      <c r="D10" s="26" t="s">
        <v>102</v>
      </c>
      <c r="E10" s="36" t="n">
        <v>150</v>
      </c>
      <c r="F10" s="26" t="s">
        <v>86</v>
      </c>
      <c r="G10" s="26" t="s">
        <v>87</v>
      </c>
      <c r="H10" s="26"/>
      <c r="J10" s="9" t="str">
        <f aca="false">IF('Słowniki i Parametry'!A10="","",'Słowniki i Parametry'!A10)</f>
        <v>Inne</v>
      </c>
      <c r="K10" s="10" t="n">
        <f aca="false">IF($J10="","",SUMIFS($E$5:$E$304,$D$5:$D$304,$J10))</f>
        <v>0</v>
      </c>
      <c r="L10" s="16" t="n">
        <f aca="false">IF($J10="","",IF($K$13=0,0,K10/$K$13))</f>
        <v>0</v>
      </c>
    </row>
    <row r="11" customFormat="false" ht="15" hidden="false" customHeight="false" outlineLevel="0" collapsed="false">
      <c r="A11" s="35"/>
      <c r="B11" s="26"/>
      <c r="C11" s="26"/>
      <c r="D11" s="26"/>
      <c r="E11" s="36"/>
      <c r="F11" s="26"/>
      <c r="G11" s="26"/>
      <c r="H11" s="26"/>
      <c r="J11" s="9" t="str">
        <f aca="false">IF('Słowniki i Parametry'!A11="","",'Słowniki i Parametry'!A11)</f>
        <v/>
      </c>
      <c r="K11" s="10" t="str">
        <f aca="false">IF($J11="","",SUMIFS($E$5:$E$304,$D$5:$D$304,$J11))</f>
        <v/>
      </c>
      <c r="L11" s="16" t="str">
        <f aca="false">IF($J11="","",IF($K$13=0,0,K11/$K$13))</f>
        <v/>
      </c>
    </row>
    <row r="12" customFormat="false" ht="15" hidden="false" customHeight="false" outlineLevel="0" collapsed="false">
      <c r="A12" s="35"/>
      <c r="B12" s="26"/>
      <c r="C12" s="26"/>
      <c r="D12" s="26"/>
      <c r="E12" s="36"/>
      <c r="F12" s="26"/>
      <c r="G12" s="26"/>
      <c r="H12" s="26"/>
      <c r="J12" s="9" t="str">
        <f aca="false">IF('Słowniki i Parametry'!A12="","",'Słowniki i Parametry'!A12)</f>
        <v/>
      </c>
      <c r="K12" s="10" t="str">
        <f aca="false">IF($J12="","",SUMIFS($E$5:$E$304,$D$5:$D$304,$J12))</f>
        <v/>
      </c>
      <c r="L12" s="16" t="str">
        <f aca="false">IF($J12="","",IF($K$13=0,0,K12/$K$13))</f>
        <v/>
      </c>
    </row>
    <row r="13" customFormat="false" ht="15" hidden="false" customHeight="false" outlineLevel="0" collapsed="false">
      <c r="A13" s="35"/>
      <c r="B13" s="26"/>
      <c r="C13" s="26"/>
      <c r="D13" s="26"/>
      <c r="E13" s="36"/>
      <c r="F13" s="26"/>
      <c r="G13" s="26"/>
      <c r="H13" s="26"/>
      <c r="J13" s="14" t="s">
        <v>103</v>
      </c>
      <c r="K13" s="15" t="n">
        <f aca="false">SUM(K5:K12)</f>
        <v>1540.4</v>
      </c>
      <c r="L13" s="19" t="n">
        <f aca="false">SUM(L5:L12)</f>
        <v>1</v>
      </c>
    </row>
    <row r="14" customFormat="false" ht="15" hidden="false" customHeight="false" outlineLevel="0" collapsed="false">
      <c r="A14" s="35"/>
      <c r="B14" s="26"/>
      <c r="C14" s="26"/>
      <c r="D14" s="26"/>
      <c r="E14" s="36"/>
      <c r="F14" s="26"/>
      <c r="G14" s="26"/>
      <c r="H14" s="26"/>
      <c r="J14" s="20" t="s">
        <v>32</v>
      </c>
      <c r="K14" s="10" t="n">
        <f aca="false">ROUND(E3-K13,2)</f>
        <v>0</v>
      </c>
    </row>
    <row r="15" customFormat="false" ht="15" hidden="false" customHeight="false" outlineLevel="0" collapsed="false">
      <c r="A15" s="35"/>
      <c r="B15" s="26"/>
      <c r="C15" s="26"/>
      <c r="D15" s="26"/>
      <c r="E15" s="36"/>
      <c r="F15" s="26"/>
      <c r="G15" s="26"/>
      <c r="H15" s="26"/>
    </row>
    <row r="16" customFormat="false" ht="15" hidden="false" customHeight="false" outlineLevel="0" collapsed="false">
      <c r="A16" s="35"/>
      <c r="B16" s="26"/>
      <c r="C16" s="26"/>
      <c r="D16" s="26"/>
      <c r="E16" s="36"/>
      <c r="F16" s="26"/>
      <c r="G16" s="26"/>
      <c r="H16" s="26"/>
      <c r="J16" s="5" t="s">
        <v>79</v>
      </c>
      <c r="K16" s="5" t="s">
        <v>82</v>
      </c>
      <c r="L16" s="5" t="s">
        <v>30</v>
      </c>
    </row>
    <row r="17" customFormat="false" ht="15" hidden="false" customHeight="false" outlineLevel="0" collapsed="false">
      <c r="A17" s="35"/>
      <c r="B17" s="26"/>
      <c r="C17" s="26"/>
      <c r="D17" s="26"/>
      <c r="E17" s="36"/>
      <c r="F17" s="26"/>
      <c r="G17" s="26"/>
      <c r="H17" s="26"/>
      <c r="J17" s="9" t="str">
        <f aca="false">IF('Słowniki i Parametry'!E5="","",'Słowniki i Parametry'!E5)</f>
        <v>Gotówka</v>
      </c>
      <c r="K17" s="10" t="n">
        <f aca="false">IF($J17="","",SUMIF($F$5:$F$304,$J17,$E$5:$E$304))</f>
        <v>370.4</v>
      </c>
      <c r="L17" s="16" t="n">
        <f aca="false">IF($J17="","",IF($E$3=0,0,K17/$E$3))</f>
        <v>0.240457024149572</v>
      </c>
    </row>
    <row r="18" customFormat="false" ht="15" hidden="false" customHeight="false" outlineLevel="0" collapsed="false">
      <c r="A18" s="35"/>
      <c r="B18" s="26"/>
      <c r="C18" s="26"/>
      <c r="D18" s="26"/>
      <c r="E18" s="36"/>
      <c r="F18" s="26"/>
      <c r="G18" s="26"/>
      <c r="H18" s="26"/>
      <c r="J18" s="9" t="str">
        <f aca="false">IF('Słowniki i Parametry'!E6="","",'Słowniki i Parametry'!E6)</f>
        <v>Przelew</v>
      </c>
      <c r="K18" s="10" t="n">
        <f aca="false">IF($J18="","",SUMIF($F$5:$F$304,$J18,$E$5:$E$304))</f>
        <v>1170</v>
      </c>
      <c r="L18" s="16" t="n">
        <f aca="false">IF($J18="","",IF($E$3=0,0,K18/$E$3))</f>
        <v>0.759542975850428</v>
      </c>
    </row>
    <row r="19" customFormat="false" ht="15" hidden="false" customHeight="false" outlineLevel="0" collapsed="false">
      <c r="A19" s="35"/>
      <c r="B19" s="26"/>
      <c r="C19" s="26"/>
      <c r="D19" s="26"/>
      <c r="E19" s="36"/>
      <c r="F19" s="26"/>
      <c r="G19" s="26"/>
      <c r="H19" s="26"/>
      <c r="J19" s="9" t="str">
        <f aca="false">IF('Słowniki i Parametry'!E7="","",'Słowniki i Parametry'!E7)</f>
        <v/>
      </c>
      <c r="K19" s="10" t="str">
        <f aca="false">IF($J19="","",SUMIF($F$5:$F$304,$J19,$E$5:$E$304))</f>
        <v/>
      </c>
      <c r="L19" s="16" t="str">
        <f aca="false">IF($J19="","",IF($E$3=0,0,K19/$E$3))</f>
        <v/>
      </c>
    </row>
    <row r="20" customFormat="false" ht="15" hidden="false" customHeight="false" outlineLevel="0" collapsed="false">
      <c r="A20" s="35"/>
      <c r="B20" s="26"/>
      <c r="C20" s="26"/>
      <c r="D20" s="26"/>
      <c r="E20" s="36"/>
      <c r="F20" s="26"/>
      <c r="G20" s="26"/>
      <c r="H20" s="26"/>
      <c r="J20" s="9" t="str">
        <f aca="false">IF('Słowniki i Parametry'!E8="","",'Słowniki i Parametry'!E8)</f>
        <v/>
      </c>
      <c r="K20" s="10" t="str">
        <f aca="false">IF($J20="","",SUMIF($F$5:$F$304,$J20,$E$5:$E$304))</f>
        <v/>
      </c>
      <c r="L20" s="16" t="str">
        <f aca="false">IF($J20="","",IF($E$3=0,0,K20/$E$3))</f>
        <v/>
      </c>
    </row>
    <row r="21" customFormat="false" ht="15" hidden="false" customHeight="false" outlineLevel="0" collapsed="false">
      <c r="A21" s="35"/>
      <c r="B21" s="26"/>
      <c r="C21" s="26"/>
      <c r="D21" s="26"/>
      <c r="E21" s="36"/>
      <c r="F21" s="26"/>
      <c r="G21" s="26"/>
      <c r="H21" s="26"/>
    </row>
    <row r="22" customFormat="false" ht="15" hidden="false" customHeight="false" outlineLevel="0" collapsed="false">
      <c r="A22" s="35"/>
      <c r="B22" s="26"/>
      <c r="C22" s="26"/>
      <c r="D22" s="26"/>
      <c r="E22" s="36"/>
      <c r="F22" s="26"/>
      <c r="G22" s="26"/>
      <c r="H22" s="26"/>
    </row>
    <row r="23" customFormat="false" ht="15" hidden="false" customHeight="false" outlineLevel="0" collapsed="false">
      <c r="A23" s="35"/>
      <c r="B23" s="26"/>
      <c r="C23" s="26"/>
      <c r="D23" s="26"/>
      <c r="E23" s="36"/>
      <c r="F23" s="26"/>
      <c r="G23" s="26"/>
      <c r="H23" s="26"/>
    </row>
    <row r="24" customFormat="false" ht="15" hidden="false" customHeight="false" outlineLevel="0" collapsed="false">
      <c r="A24" s="35"/>
      <c r="B24" s="26"/>
      <c r="C24" s="26"/>
      <c r="D24" s="26"/>
      <c r="E24" s="36"/>
      <c r="F24" s="26"/>
      <c r="G24" s="26"/>
      <c r="H24" s="26"/>
    </row>
    <row r="25" customFormat="false" ht="15" hidden="false" customHeight="false" outlineLevel="0" collapsed="false">
      <c r="A25" s="35"/>
      <c r="B25" s="26"/>
      <c r="C25" s="26"/>
      <c r="D25" s="26"/>
      <c r="E25" s="36"/>
      <c r="F25" s="26"/>
      <c r="G25" s="26"/>
      <c r="H25" s="26"/>
    </row>
    <row r="26" customFormat="false" ht="15" hidden="false" customHeight="false" outlineLevel="0" collapsed="false">
      <c r="A26" s="35"/>
      <c r="B26" s="26"/>
      <c r="C26" s="26"/>
      <c r="D26" s="26"/>
      <c r="E26" s="36"/>
      <c r="F26" s="26"/>
      <c r="G26" s="26"/>
      <c r="H26" s="26"/>
    </row>
    <row r="27" customFormat="false" ht="15" hidden="false" customHeight="false" outlineLevel="0" collapsed="false">
      <c r="A27" s="35"/>
      <c r="B27" s="26"/>
      <c r="C27" s="26"/>
      <c r="D27" s="26"/>
      <c r="E27" s="36"/>
      <c r="F27" s="26"/>
      <c r="G27" s="26"/>
      <c r="H27" s="26"/>
    </row>
    <row r="28" customFormat="false" ht="15" hidden="false" customHeight="false" outlineLevel="0" collapsed="false">
      <c r="A28" s="35"/>
      <c r="B28" s="26"/>
      <c r="C28" s="26"/>
      <c r="D28" s="26"/>
      <c r="E28" s="36"/>
      <c r="F28" s="26"/>
      <c r="G28" s="26"/>
      <c r="H28" s="26"/>
    </row>
    <row r="29" customFormat="false" ht="15" hidden="false" customHeight="false" outlineLevel="0" collapsed="false">
      <c r="A29" s="35"/>
      <c r="B29" s="26"/>
      <c r="C29" s="26"/>
      <c r="D29" s="26"/>
      <c r="E29" s="36"/>
      <c r="F29" s="26"/>
      <c r="G29" s="26"/>
      <c r="H29" s="26"/>
    </row>
    <row r="30" customFormat="false" ht="15" hidden="false" customHeight="false" outlineLevel="0" collapsed="false">
      <c r="A30" s="35"/>
      <c r="B30" s="26"/>
      <c r="C30" s="26"/>
      <c r="D30" s="26"/>
      <c r="E30" s="36"/>
      <c r="F30" s="26"/>
      <c r="G30" s="26"/>
      <c r="H30" s="26"/>
    </row>
    <row r="31" customFormat="false" ht="15" hidden="false" customHeight="false" outlineLevel="0" collapsed="false">
      <c r="A31" s="35"/>
      <c r="B31" s="26"/>
      <c r="C31" s="26"/>
      <c r="D31" s="26"/>
      <c r="E31" s="36"/>
      <c r="F31" s="26"/>
      <c r="G31" s="26"/>
      <c r="H31" s="26"/>
    </row>
    <row r="32" customFormat="false" ht="15" hidden="false" customHeight="false" outlineLevel="0" collapsed="false">
      <c r="A32" s="35"/>
      <c r="B32" s="26"/>
      <c r="C32" s="26"/>
      <c r="D32" s="26"/>
      <c r="E32" s="36"/>
      <c r="F32" s="26"/>
      <c r="G32" s="26"/>
      <c r="H32" s="26"/>
    </row>
    <row r="33" customFormat="false" ht="15" hidden="false" customHeight="false" outlineLevel="0" collapsed="false">
      <c r="A33" s="35"/>
      <c r="B33" s="26"/>
      <c r="C33" s="26"/>
      <c r="D33" s="26"/>
      <c r="E33" s="36"/>
      <c r="F33" s="26"/>
      <c r="G33" s="26"/>
      <c r="H33" s="26"/>
    </row>
    <row r="34" customFormat="false" ht="15" hidden="false" customHeight="false" outlineLevel="0" collapsed="false">
      <c r="A34" s="35"/>
      <c r="B34" s="26"/>
      <c r="C34" s="26"/>
      <c r="D34" s="26"/>
      <c r="E34" s="36"/>
      <c r="F34" s="26"/>
      <c r="G34" s="26"/>
      <c r="H34" s="26"/>
    </row>
    <row r="35" customFormat="false" ht="15" hidden="false" customHeight="false" outlineLevel="0" collapsed="false">
      <c r="A35" s="35"/>
      <c r="B35" s="26"/>
      <c r="C35" s="26"/>
      <c r="D35" s="26"/>
      <c r="E35" s="36"/>
      <c r="F35" s="26"/>
      <c r="G35" s="26"/>
      <c r="H35" s="26"/>
    </row>
    <row r="36" customFormat="false" ht="15" hidden="false" customHeight="false" outlineLevel="0" collapsed="false">
      <c r="A36" s="35"/>
      <c r="B36" s="26"/>
      <c r="C36" s="26"/>
      <c r="D36" s="26"/>
      <c r="E36" s="36"/>
      <c r="F36" s="26"/>
      <c r="G36" s="26"/>
      <c r="H36" s="26"/>
    </row>
    <row r="37" customFormat="false" ht="15" hidden="false" customHeight="false" outlineLevel="0" collapsed="false">
      <c r="A37" s="35"/>
      <c r="B37" s="26"/>
      <c r="C37" s="26"/>
      <c r="D37" s="26"/>
      <c r="E37" s="36"/>
      <c r="F37" s="26"/>
      <c r="G37" s="26"/>
      <c r="H37" s="26"/>
    </row>
    <row r="38" customFormat="false" ht="15" hidden="false" customHeight="false" outlineLevel="0" collapsed="false">
      <c r="A38" s="35"/>
      <c r="B38" s="26"/>
      <c r="C38" s="26"/>
      <c r="D38" s="26"/>
      <c r="E38" s="36"/>
      <c r="F38" s="26"/>
      <c r="G38" s="26"/>
      <c r="H38" s="26"/>
    </row>
    <row r="39" customFormat="false" ht="15" hidden="false" customHeight="false" outlineLevel="0" collapsed="false">
      <c r="A39" s="35"/>
      <c r="B39" s="26"/>
      <c r="C39" s="26"/>
      <c r="D39" s="26"/>
      <c r="E39" s="36"/>
      <c r="F39" s="26"/>
      <c r="G39" s="26"/>
      <c r="H39" s="26"/>
    </row>
    <row r="40" customFormat="false" ht="15" hidden="false" customHeight="false" outlineLevel="0" collapsed="false">
      <c r="A40" s="35"/>
      <c r="B40" s="26"/>
      <c r="C40" s="26"/>
      <c r="D40" s="26"/>
      <c r="E40" s="36"/>
      <c r="F40" s="26"/>
      <c r="G40" s="26"/>
      <c r="H40" s="26"/>
    </row>
    <row r="41" customFormat="false" ht="15" hidden="false" customHeight="false" outlineLevel="0" collapsed="false">
      <c r="A41" s="35"/>
      <c r="B41" s="26"/>
      <c r="C41" s="26"/>
      <c r="D41" s="26"/>
      <c r="E41" s="36"/>
      <c r="F41" s="26"/>
      <c r="G41" s="26"/>
      <c r="H41" s="26"/>
    </row>
    <row r="42" customFormat="false" ht="15" hidden="false" customHeight="false" outlineLevel="0" collapsed="false">
      <c r="A42" s="35"/>
      <c r="B42" s="26"/>
      <c r="C42" s="26"/>
      <c r="D42" s="26"/>
      <c r="E42" s="36"/>
      <c r="F42" s="26"/>
      <c r="G42" s="26"/>
      <c r="H42" s="26"/>
    </row>
    <row r="43" customFormat="false" ht="15" hidden="false" customHeight="false" outlineLevel="0" collapsed="false">
      <c r="A43" s="35"/>
      <c r="B43" s="26"/>
      <c r="C43" s="26"/>
      <c r="D43" s="26"/>
      <c r="E43" s="36"/>
      <c r="F43" s="26"/>
      <c r="G43" s="26"/>
      <c r="H43" s="26"/>
    </row>
    <row r="44" customFormat="false" ht="15" hidden="false" customHeight="false" outlineLevel="0" collapsed="false">
      <c r="A44" s="35"/>
      <c r="B44" s="26"/>
      <c r="C44" s="26"/>
      <c r="D44" s="26"/>
      <c r="E44" s="36"/>
      <c r="F44" s="26"/>
      <c r="G44" s="26"/>
      <c r="H44" s="26"/>
    </row>
    <row r="45" customFormat="false" ht="15" hidden="false" customHeight="false" outlineLevel="0" collapsed="false">
      <c r="A45" s="35"/>
      <c r="B45" s="26"/>
      <c r="C45" s="26"/>
      <c r="D45" s="26"/>
      <c r="E45" s="36"/>
      <c r="F45" s="26"/>
      <c r="G45" s="26"/>
      <c r="H45" s="26"/>
    </row>
    <row r="46" customFormat="false" ht="15" hidden="false" customHeight="false" outlineLevel="0" collapsed="false">
      <c r="A46" s="35"/>
      <c r="B46" s="26"/>
      <c r="C46" s="26"/>
      <c r="D46" s="26"/>
      <c r="E46" s="36"/>
      <c r="F46" s="26"/>
      <c r="G46" s="26"/>
      <c r="H46" s="26"/>
    </row>
    <row r="47" customFormat="false" ht="15" hidden="false" customHeight="false" outlineLevel="0" collapsed="false">
      <c r="A47" s="35"/>
      <c r="B47" s="26"/>
      <c r="C47" s="26"/>
      <c r="D47" s="26"/>
      <c r="E47" s="36"/>
      <c r="F47" s="26"/>
      <c r="G47" s="26"/>
      <c r="H47" s="26"/>
    </row>
    <row r="48" customFormat="false" ht="15" hidden="false" customHeight="false" outlineLevel="0" collapsed="false">
      <c r="A48" s="35"/>
      <c r="B48" s="26"/>
      <c r="C48" s="26"/>
      <c r="D48" s="26"/>
      <c r="E48" s="36"/>
      <c r="F48" s="26"/>
      <c r="G48" s="26"/>
      <c r="H48" s="26"/>
    </row>
    <row r="49" customFormat="false" ht="15" hidden="false" customHeight="false" outlineLevel="0" collapsed="false">
      <c r="A49" s="35"/>
      <c r="B49" s="26"/>
      <c r="C49" s="26"/>
      <c r="D49" s="26"/>
      <c r="E49" s="36"/>
      <c r="F49" s="26"/>
      <c r="G49" s="26"/>
      <c r="H49" s="26"/>
    </row>
    <row r="50" customFormat="false" ht="15" hidden="false" customHeight="false" outlineLevel="0" collapsed="false">
      <c r="A50" s="35"/>
      <c r="B50" s="26"/>
      <c r="C50" s="26"/>
      <c r="D50" s="26"/>
      <c r="E50" s="36"/>
      <c r="F50" s="26"/>
      <c r="G50" s="26"/>
      <c r="H50" s="26"/>
    </row>
    <row r="51" customFormat="false" ht="15" hidden="false" customHeight="false" outlineLevel="0" collapsed="false">
      <c r="A51" s="35"/>
      <c r="B51" s="26"/>
      <c r="C51" s="26"/>
      <c r="D51" s="26"/>
      <c r="E51" s="36"/>
      <c r="F51" s="26"/>
      <c r="G51" s="26"/>
      <c r="H51" s="26"/>
    </row>
    <row r="52" customFormat="false" ht="15" hidden="false" customHeight="false" outlineLevel="0" collapsed="false">
      <c r="A52" s="35"/>
      <c r="B52" s="26"/>
      <c r="C52" s="26"/>
      <c r="D52" s="26"/>
      <c r="E52" s="36"/>
      <c r="F52" s="26"/>
      <c r="G52" s="26"/>
      <c r="H52" s="26"/>
    </row>
    <row r="53" customFormat="false" ht="15" hidden="false" customHeight="false" outlineLevel="0" collapsed="false">
      <c r="A53" s="35"/>
      <c r="B53" s="26"/>
      <c r="C53" s="26"/>
      <c r="D53" s="26"/>
      <c r="E53" s="36"/>
      <c r="F53" s="26"/>
      <c r="G53" s="26"/>
      <c r="H53" s="26"/>
    </row>
    <row r="54" customFormat="false" ht="15" hidden="false" customHeight="false" outlineLevel="0" collapsed="false">
      <c r="A54" s="35"/>
      <c r="B54" s="26"/>
      <c r="C54" s="26"/>
      <c r="D54" s="26"/>
      <c r="E54" s="36"/>
      <c r="F54" s="26"/>
      <c r="G54" s="26"/>
      <c r="H54" s="26"/>
    </row>
    <row r="55" customFormat="false" ht="15" hidden="false" customHeight="false" outlineLevel="0" collapsed="false">
      <c r="A55" s="35"/>
      <c r="B55" s="26"/>
      <c r="C55" s="26"/>
      <c r="D55" s="26"/>
      <c r="E55" s="36"/>
      <c r="F55" s="26"/>
      <c r="G55" s="26"/>
      <c r="H55" s="26"/>
    </row>
    <row r="56" customFormat="false" ht="15" hidden="false" customHeight="false" outlineLevel="0" collapsed="false">
      <c r="A56" s="35"/>
      <c r="B56" s="26"/>
      <c r="C56" s="26"/>
      <c r="D56" s="26"/>
      <c r="E56" s="36"/>
      <c r="F56" s="26"/>
      <c r="G56" s="26"/>
      <c r="H56" s="26"/>
    </row>
    <row r="57" customFormat="false" ht="15" hidden="false" customHeight="false" outlineLevel="0" collapsed="false">
      <c r="A57" s="35"/>
      <c r="B57" s="26"/>
      <c r="C57" s="26"/>
      <c r="D57" s="26"/>
      <c r="E57" s="36"/>
      <c r="F57" s="26"/>
      <c r="G57" s="26"/>
      <c r="H57" s="26"/>
    </row>
    <row r="58" customFormat="false" ht="15" hidden="false" customHeight="false" outlineLevel="0" collapsed="false">
      <c r="A58" s="35"/>
      <c r="B58" s="26"/>
      <c r="C58" s="26"/>
      <c r="D58" s="26"/>
      <c r="E58" s="36"/>
      <c r="F58" s="26"/>
      <c r="G58" s="26"/>
      <c r="H58" s="26"/>
    </row>
    <row r="59" customFormat="false" ht="15" hidden="false" customHeight="false" outlineLevel="0" collapsed="false">
      <c r="A59" s="35"/>
      <c r="B59" s="26"/>
      <c r="C59" s="26"/>
      <c r="D59" s="26"/>
      <c r="E59" s="36"/>
      <c r="F59" s="26"/>
      <c r="G59" s="26"/>
      <c r="H59" s="26"/>
    </row>
    <row r="60" customFormat="false" ht="15" hidden="false" customHeight="false" outlineLevel="0" collapsed="false">
      <c r="A60" s="35"/>
      <c r="B60" s="26"/>
      <c r="C60" s="26"/>
      <c r="D60" s="26"/>
      <c r="E60" s="36"/>
      <c r="F60" s="26"/>
      <c r="G60" s="26"/>
      <c r="H60" s="26"/>
    </row>
    <row r="61" customFormat="false" ht="15" hidden="false" customHeight="false" outlineLevel="0" collapsed="false">
      <c r="A61" s="35"/>
      <c r="B61" s="26"/>
      <c r="C61" s="26"/>
      <c r="D61" s="26"/>
      <c r="E61" s="36"/>
      <c r="F61" s="26"/>
      <c r="G61" s="26"/>
      <c r="H61" s="26"/>
    </row>
    <row r="62" customFormat="false" ht="15" hidden="false" customHeight="false" outlineLevel="0" collapsed="false">
      <c r="A62" s="35"/>
      <c r="B62" s="26"/>
      <c r="C62" s="26"/>
      <c r="D62" s="26"/>
      <c r="E62" s="36"/>
      <c r="F62" s="26"/>
      <c r="G62" s="26"/>
      <c r="H62" s="26"/>
    </row>
    <row r="63" customFormat="false" ht="15" hidden="false" customHeight="false" outlineLevel="0" collapsed="false">
      <c r="A63" s="35"/>
      <c r="B63" s="26"/>
      <c r="C63" s="26"/>
      <c r="D63" s="26"/>
      <c r="E63" s="36"/>
      <c r="F63" s="26"/>
      <c r="G63" s="26"/>
      <c r="H63" s="26"/>
    </row>
    <row r="64" customFormat="false" ht="15" hidden="false" customHeight="false" outlineLevel="0" collapsed="false">
      <c r="A64" s="35"/>
      <c r="B64" s="26"/>
      <c r="C64" s="26"/>
      <c r="D64" s="26"/>
      <c r="E64" s="36"/>
      <c r="F64" s="26"/>
      <c r="G64" s="26"/>
      <c r="H64" s="26"/>
    </row>
    <row r="65" customFormat="false" ht="15" hidden="false" customHeight="false" outlineLevel="0" collapsed="false">
      <c r="A65" s="35"/>
      <c r="B65" s="26"/>
      <c r="C65" s="26"/>
      <c r="D65" s="26"/>
      <c r="E65" s="36"/>
      <c r="F65" s="26"/>
      <c r="G65" s="26"/>
      <c r="H65" s="26"/>
    </row>
    <row r="66" customFormat="false" ht="15" hidden="false" customHeight="false" outlineLevel="0" collapsed="false">
      <c r="A66" s="35"/>
      <c r="B66" s="26"/>
      <c r="C66" s="26"/>
      <c r="D66" s="26"/>
      <c r="E66" s="36"/>
      <c r="F66" s="26"/>
      <c r="G66" s="26"/>
      <c r="H66" s="26"/>
    </row>
    <row r="67" customFormat="false" ht="15" hidden="false" customHeight="false" outlineLevel="0" collapsed="false">
      <c r="A67" s="35"/>
      <c r="B67" s="26"/>
      <c r="C67" s="26"/>
      <c r="D67" s="26"/>
      <c r="E67" s="36"/>
      <c r="F67" s="26"/>
      <c r="G67" s="26"/>
      <c r="H67" s="26"/>
    </row>
    <row r="68" customFormat="false" ht="15" hidden="false" customHeight="false" outlineLevel="0" collapsed="false">
      <c r="A68" s="35"/>
      <c r="B68" s="26"/>
      <c r="C68" s="26"/>
      <c r="D68" s="26"/>
      <c r="E68" s="36"/>
      <c r="F68" s="26"/>
      <c r="G68" s="26"/>
      <c r="H68" s="26"/>
    </row>
    <row r="69" customFormat="false" ht="15" hidden="false" customHeight="false" outlineLevel="0" collapsed="false">
      <c r="A69" s="35"/>
      <c r="B69" s="26"/>
      <c r="C69" s="26"/>
      <c r="D69" s="26"/>
      <c r="E69" s="36"/>
      <c r="F69" s="26"/>
      <c r="G69" s="26"/>
      <c r="H69" s="26"/>
    </row>
    <row r="70" customFormat="false" ht="15" hidden="false" customHeight="false" outlineLevel="0" collapsed="false">
      <c r="A70" s="35"/>
      <c r="B70" s="26"/>
      <c r="C70" s="26"/>
      <c r="D70" s="26"/>
      <c r="E70" s="36"/>
      <c r="F70" s="26"/>
      <c r="G70" s="26"/>
      <c r="H70" s="26"/>
    </row>
    <row r="71" customFormat="false" ht="15" hidden="false" customHeight="false" outlineLevel="0" collapsed="false">
      <c r="A71" s="35"/>
      <c r="B71" s="26"/>
      <c r="C71" s="26"/>
      <c r="D71" s="26"/>
      <c r="E71" s="36"/>
      <c r="F71" s="26"/>
      <c r="G71" s="26"/>
      <c r="H71" s="26"/>
    </row>
    <row r="72" customFormat="false" ht="15" hidden="false" customHeight="false" outlineLevel="0" collapsed="false">
      <c r="A72" s="35"/>
      <c r="B72" s="26"/>
      <c r="C72" s="26"/>
      <c r="D72" s="26"/>
      <c r="E72" s="36"/>
      <c r="F72" s="26"/>
      <c r="G72" s="26"/>
      <c r="H72" s="26"/>
    </row>
    <row r="73" customFormat="false" ht="15" hidden="false" customHeight="false" outlineLevel="0" collapsed="false">
      <c r="A73" s="35"/>
      <c r="B73" s="26"/>
      <c r="C73" s="26"/>
      <c r="D73" s="26"/>
      <c r="E73" s="36"/>
      <c r="F73" s="26"/>
      <c r="G73" s="26"/>
      <c r="H73" s="26"/>
    </row>
    <row r="74" customFormat="false" ht="15" hidden="false" customHeight="false" outlineLevel="0" collapsed="false">
      <c r="A74" s="35"/>
      <c r="B74" s="26"/>
      <c r="C74" s="26"/>
      <c r="D74" s="26"/>
      <c r="E74" s="36"/>
      <c r="F74" s="26"/>
      <c r="G74" s="26"/>
      <c r="H74" s="26"/>
    </row>
    <row r="75" customFormat="false" ht="15" hidden="false" customHeight="false" outlineLevel="0" collapsed="false">
      <c r="A75" s="35"/>
      <c r="B75" s="26"/>
      <c r="C75" s="26"/>
      <c r="D75" s="26"/>
      <c r="E75" s="36"/>
      <c r="F75" s="26"/>
      <c r="G75" s="26"/>
      <c r="H75" s="26"/>
    </row>
    <row r="76" customFormat="false" ht="15" hidden="false" customHeight="false" outlineLevel="0" collapsed="false">
      <c r="A76" s="35"/>
      <c r="B76" s="26"/>
      <c r="C76" s="26"/>
      <c r="D76" s="26"/>
      <c r="E76" s="36"/>
      <c r="F76" s="26"/>
      <c r="G76" s="26"/>
      <c r="H76" s="26"/>
    </row>
    <row r="77" customFormat="false" ht="15" hidden="false" customHeight="false" outlineLevel="0" collapsed="false">
      <c r="A77" s="35"/>
      <c r="B77" s="26"/>
      <c r="C77" s="26"/>
      <c r="D77" s="26"/>
      <c r="E77" s="36"/>
      <c r="F77" s="26"/>
      <c r="G77" s="26"/>
      <c r="H77" s="26"/>
    </row>
    <row r="78" customFormat="false" ht="15" hidden="false" customHeight="false" outlineLevel="0" collapsed="false">
      <c r="A78" s="35"/>
      <c r="B78" s="26"/>
      <c r="C78" s="26"/>
      <c r="D78" s="26"/>
      <c r="E78" s="36"/>
      <c r="F78" s="26"/>
      <c r="G78" s="26"/>
      <c r="H78" s="26"/>
    </row>
    <row r="79" customFormat="false" ht="15" hidden="false" customHeight="false" outlineLevel="0" collapsed="false">
      <c r="A79" s="35"/>
      <c r="B79" s="26"/>
      <c r="C79" s="26"/>
      <c r="D79" s="26"/>
      <c r="E79" s="36"/>
      <c r="F79" s="26"/>
      <c r="G79" s="26"/>
      <c r="H79" s="26"/>
    </row>
    <row r="80" customFormat="false" ht="15" hidden="false" customHeight="false" outlineLevel="0" collapsed="false">
      <c r="A80" s="35"/>
      <c r="B80" s="26"/>
      <c r="C80" s="26"/>
      <c r="D80" s="26"/>
      <c r="E80" s="36"/>
      <c r="F80" s="26"/>
      <c r="G80" s="26"/>
      <c r="H80" s="26"/>
    </row>
    <row r="81" customFormat="false" ht="15" hidden="false" customHeight="false" outlineLevel="0" collapsed="false">
      <c r="A81" s="35"/>
      <c r="B81" s="26"/>
      <c r="C81" s="26"/>
      <c r="D81" s="26"/>
      <c r="E81" s="36"/>
      <c r="F81" s="26"/>
      <c r="G81" s="26"/>
      <c r="H81" s="26"/>
    </row>
    <row r="82" customFormat="false" ht="15" hidden="false" customHeight="false" outlineLevel="0" collapsed="false">
      <c r="A82" s="35"/>
      <c r="B82" s="26"/>
      <c r="C82" s="26"/>
      <c r="D82" s="26"/>
      <c r="E82" s="36"/>
      <c r="F82" s="26"/>
      <c r="G82" s="26"/>
      <c r="H82" s="26"/>
    </row>
    <row r="83" customFormat="false" ht="15" hidden="false" customHeight="false" outlineLevel="0" collapsed="false">
      <c r="A83" s="35"/>
      <c r="B83" s="26"/>
      <c r="C83" s="26"/>
      <c r="D83" s="26"/>
      <c r="E83" s="36"/>
      <c r="F83" s="26"/>
      <c r="G83" s="26"/>
      <c r="H83" s="26"/>
    </row>
    <row r="84" customFormat="false" ht="15" hidden="false" customHeight="false" outlineLevel="0" collapsed="false">
      <c r="A84" s="35"/>
      <c r="B84" s="26"/>
      <c r="C84" s="26"/>
      <c r="D84" s="26"/>
      <c r="E84" s="36"/>
      <c r="F84" s="26"/>
      <c r="G84" s="26"/>
      <c r="H84" s="26"/>
    </row>
    <row r="85" customFormat="false" ht="15" hidden="false" customHeight="false" outlineLevel="0" collapsed="false">
      <c r="A85" s="35"/>
      <c r="B85" s="26"/>
      <c r="C85" s="26"/>
      <c r="D85" s="26"/>
      <c r="E85" s="36"/>
      <c r="F85" s="26"/>
      <c r="G85" s="26"/>
      <c r="H85" s="26"/>
    </row>
    <row r="86" customFormat="false" ht="15" hidden="false" customHeight="false" outlineLevel="0" collapsed="false">
      <c r="A86" s="35"/>
      <c r="B86" s="26"/>
      <c r="C86" s="26"/>
      <c r="D86" s="26"/>
      <c r="E86" s="36"/>
      <c r="F86" s="26"/>
      <c r="G86" s="26"/>
      <c r="H86" s="26"/>
    </row>
    <row r="87" customFormat="false" ht="15" hidden="false" customHeight="false" outlineLevel="0" collapsed="false">
      <c r="A87" s="35"/>
      <c r="B87" s="26"/>
      <c r="C87" s="26"/>
      <c r="D87" s="26"/>
      <c r="E87" s="36"/>
      <c r="F87" s="26"/>
      <c r="G87" s="26"/>
      <c r="H87" s="26"/>
    </row>
    <row r="88" customFormat="false" ht="15" hidden="false" customHeight="false" outlineLevel="0" collapsed="false">
      <c r="A88" s="35"/>
      <c r="B88" s="26"/>
      <c r="C88" s="26"/>
      <c r="D88" s="26"/>
      <c r="E88" s="36"/>
      <c r="F88" s="26"/>
      <c r="G88" s="26"/>
      <c r="H88" s="26"/>
    </row>
    <row r="89" customFormat="false" ht="15" hidden="false" customHeight="false" outlineLevel="0" collapsed="false">
      <c r="A89" s="35"/>
      <c r="B89" s="26"/>
      <c r="C89" s="26"/>
      <c r="D89" s="26"/>
      <c r="E89" s="36"/>
      <c r="F89" s="26"/>
      <c r="G89" s="26"/>
      <c r="H89" s="26"/>
    </row>
    <row r="90" customFormat="false" ht="15" hidden="false" customHeight="false" outlineLevel="0" collapsed="false">
      <c r="A90" s="35"/>
      <c r="B90" s="26"/>
      <c r="C90" s="26"/>
      <c r="D90" s="26"/>
      <c r="E90" s="36"/>
      <c r="F90" s="26"/>
      <c r="G90" s="26"/>
      <c r="H90" s="26"/>
    </row>
    <row r="91" customFormat="false" ht="15" hidden="false" customHeight="false" outlineLevel="0" collapsed="false">
      <c r="A91" s="35"/>
      <c r="B91" s="26"/>
      <c r="C91" s="26"/>
      <c r="D91" s="26"/>
      <c r="E91" s="36"/>
      <c r="F91" s="26"/>
      <c r="G91" s="26"/>
      <c r="H91" s="26"/>
    </row>
    <row r="92" customFormat="false" ht="15" hidden="false" customHeight="false" outlineLevel="0" collapsed="false">
      <c r="A92" s="35"/>
      <c r="B92" s="26"/>
      <c r="C92" s="26"/>
      <c r="D92" s="26"/>
      <c r="E92" s="36"/>
      <c r="F92" s="26"/>
      <c r="G92" s="26"/>
      <c r="H92" s="26"/>
    </row>
    <row r="93" customFormat="false" ht="15" hidden="false" customHeight="false" outlineLevel="0" collapsed="false">
      <c r="A93" s="35"/>
      <c r="B93" s="26"/>
      <c r="C93" s="26"/>
      <c r="D93" s="26"/>
      <c r="E93" s="36"/>
      <c r="F93" s="26"/>
      <c r="G93" s="26"/>
      <c r="H93" s="26"/>
    </row>
    <row r="94" customFormat="false" ht="15" hidden="false" customHeight="false" outlineLevel="0" collapsed="false">
      <c r="A94" s="35"/>
      <c r="B94" s="26"/>
      <c r="C94" s="26"/>
      <c r="D94" s="26"/>
      <c r="E94" s="36"/>
      <c r="F94" s="26"/>
      <c r="G94" s="26"/>
      <c r="H94" s="26"/>
    </row>
    <row r="95" customFormat="false" ht="15" hidden="false" customHeight="false" outlineLevel="0" collapsed="false">
      <c r="A95" s="35"/>
      <c r="B95" s="26"/>
      <c r="C95" s="26"/>
      <c r="D95" s="26"/>
      <c r="E95" s="36"/>
      <c r="F95" s="26"/>
      <c r="G95" s="26"/>
      <c r="H95" s="26"/>
    </row>
    <row r="96" customFormat="false" ht="15" hidden="false" customHeight="false" outlineLevel="0" collapsed="false">
      <c r="A96" s="35"/>
      <c r="B96" s="26"/>
      <c r="C96" s="26"/>
      <c r="D96" s="26"/>
      <c r="E96" s="36"/>
      <c r="F96" s="26"/>
      <c r="G96" s="26"/>
      <c r="H96" s="26"/>
    </row>
    <row r="97" customFormat="false" ht="15" hidden="false" customHeight="false" outlineLevel="0" collapsed="false">
      <c r="A97" s="35"/>
      <c r="B97" s="26"/>
      <c r="C97" s="26"/>
      <c r="D97" s="26"/>
      <c r="E97" s="36"/>
      <c r="F97" s="26"/>
      <c r="G97" s="26"/>
      <c r="H97" s="26"/>
    </row>
    <row r="98" customFormat="false" ht="15" hidden="false" customHeight="false" outlineLevel="0" collapsed="false">
      <c r="A98" s="35"/>
      <c r="B98" s="26"/>
      <c r="C98" s="26"/>
      <c r="D98" s="26"/>
      <c r="E98" s="36"/>
      <c r="F98" s="26"/>
      <c r="G98" s="26"/>
      <c r="H98" s="26"/>
    </row>
    <row r="99" customFormat="false" ht="15" hidden="false" customHeight="false" outlineLevel="0" collapsed="false">
      <c r="A99" s="35"/>
      <c r="B99" s="26"/>
      <c r="C99" s="26"/>
      <c r="D99" s="26"/>
      <c r="E99" s="36"/>
      <c r="F99" s="26"/>
      <c r="G99" s="26"/>
      <c r="H99" s="26"/>
    </row>
    <row r="100" customFormat="false" ht="15" hidden="false" customHeight="false" outlineLevel="0" collapsed="false">
      <c r="A100" s="35"/>
      <c r="B100" s="26"/>
      <c r="C100" s="26"/>
      <c r="D100" s="26"/>
      <c r="E100" s="36"/>
      <c r="F100" s="26"/>
      <c r="G100" s="26"/>
      <c r="H100" s="26"/>
    </row>
    <row r="101" customFormat="false" ht="15" hidden="false" customHeight="false" outlineLevel="0" collapsed="false">
      <c r="A101" s="35"/>
      <c r="B101" s="26"/>
      <c r="C101" s="26"/>
      <c r="D101" s="26"/>
      <c r="E101" s="36"/>
      <c r="F101" s="26"/>
      <c r="G101" s="26"/>
      <c r="H101" s="26"/>
    </row>
    <row r="102" customFormat="false" ht="15" hidden="false" customHeight="false" outlineLevel="0" collapsed="false">
      <c r="A102" s="35"/>
      <c r="B102" s="26"/>
      <c r="C102" s="26"/>
      <c r="D102" s="26"/>
      <c r="E102" s="36"/>
      <c r="F102" s="26"/>
      <c r="G102" s="26"/>
      <c r="H102" s="26"/>
    </row>
    <row r="103" customFormat="false" ht="15" hidden="false" customHeight="false" outlineLevel="0" collapsed="false">
      <c r="A103" s="35"/>
      <c r="B103" s="26"/>
      <c r="C103" s="26"/>
      <c r="D103" s="26"/>
      <c r="E103" s="36"/>
      <c r="F103" s="26"/>
      <c r="G103" s="26"/>
      <c r="H103" s="26"/>
    </row>
    <row r="104" customFormat="false" ht="15" hidden="false" customHeight="false" outlineLevel="0" collapsed="false">
      <c r="A104" s="35"/>
      <c r="B104" s="26"/>
      <c r="C104" s="26"/>
      <c r="D104" s="26"/>
      <c r="E104" s="36"/>
      <c r="F104" s="26"/>
      <c r="G104" s="26"/>
      <c r="H104" s="26"/>
    </row>
    <row r="105" customFormat="false" ht="15" hidden="false" customHeight="false" outlineLevel="0" collapsed="false">
      <c r="A105" s="35"/>
      <c r="B105" s="26"/>
      <c r="C105" s="26"/>
      <c r="D105" s="26"/>
      <c r="E105" s="36"/>
      <c r="F105" s="26"/>
      <c r="G105" s="26"/>
      <c r="H105" s="26"/>
    </row>
    <row r="106" customFormat="false" ht="15" hidden="false" customHeight="false" outlineLevel="0" collapsed="false">
      <c r="A106" s="35"/>
      <c r="B106" s="26"/>
      <c r="C106" s="26"/>
      <c r="D106" s="26"/>
      <c r="E106" s="36"/>
      <c r="F106" s="26"/>
      <c r="G106" s="26"/>
      <c r="H106" s="26"/>
    </row>
    <row r="107" customFormat="false" ht="15" hidden="false" customHeight="false" outlineLevel="0" collapsed="false">
      <c r="A107" s="35"/>
      <c r="B107" s="26"/>
      <c r="C107" s="26"/>
      <c r="D107" s="26"/>
      <c r="E107" s="36"/>
      <c r="F107" s="26"/>
      <c r="G107" s="26"/>
      <c r="H107" s="26"/>
    </row>
    <row r="108" customFormat="false" ht="15" hidden="false" customHeight="false" outlineLevel="0" collapsed="false">
      <c r="A108" s="35"/>
      <c r="B108" s="26"/>
      <c r="C108" s="26"/>
      <c r="D108" s="26"/>
      <c r="E108" s="36"/>
      <c r="F108" s="26"/>
      <c r="G108" s="26"/>
      <c r="H108" s="26"/>
    </row>
    <row r="109" customFormat="false" ht="15" hidden="false" customHeight="false" outlineLevel="0" collapsed="false">
      <c r="A109" s="35"/>
      <c r="B109" s="26"/>
      <c r="C109" s="26"/>
      <c r="D109" s="26"/>
      <c r="E109" s="36"/>
      <c r="F109" s="26"/>
      <c r="G109" s="26"/>
      <c r="H109" s="26"/>
    </row>
    <row r="110" customFormat="false" ht="15" hidden="false" customHeight="false" outlineLevel="0" collapsed="false">
      <c r="A110" s="35"/>
      <c r="B110" s="26"/>
      <c r="C110" s="26"/>
      <c r="D110" s="26"/>
      <c r="E110" s="36"/>
      <c r="F110" s="26"/>
      <c r="G110" s="26"/>
      <c r="H110" s="26"/>
    </row>
    <row r="111" customFormat="false" ht="15" hidden="false" customHeight="false" outlineLevel="0" collapsed="false">
      <c r="A111" s="35"/>
      <c r="B111" s="26"/>
      <c r="C111" s="26"/>
      <c r="D111" s="26"/>
      <c r="E111" s="36"/>
      <c r="F111" s="26"/>
      <c r="G111" s="26"/>
      <c r="H111" s="26"/>
    </row>
    <row r="112" customFormat="false" ht="15" hidden="false" customHeight="false" outlineLevel="0" collapsed="false">
      <c r="A112" s="35"/>
      <c r="B112" s="26"/>
      <c r="C112" s="26"/>
      <c r="D112" s="26"/>
      <c r="E112" s="36"/>
      <c r="F112" s="26"/>
      <c r="G112" s="26"/>
      <c r="H112" s="26"/>
    </row>
    <row r="113" customFormat="false" ht="15" hidden="false" customHeight="false" outlineLevel="0" collapsed="false">
      <c r="A113" s="35"/>
      <c r="B113" s="26"/>
      <c r="C113" s="26"/>
      <c r="D113" s="26"/>
      <c r="E113" s="36"/>
      <c r="F113" s="26"/>
      <c r="G113" s="26"/>
      <c r="H113" s="26"/>
    </row>
    <row r="114" customFormat="false" ht="15" hidden="false" customHeight="false" outlineLevel="0" collapsed="false">
      <c r="A114" s="35"/>
      <c r="B114" s="26"/>
      <c r="C114" s="26"/>
      <c r="D114" s="26"/>
      <c r="E114" s="36"/>
      <c r="F114" s="26"/>
      <c r="G114" s="26"/>
      <c r="H114" s="26"/>
    </row>
    <row r="115" customFormat="false" ht="15" hidden="false" customHeight="false" outlineLevel="0" collapsed="false">
      <c r="A115" s="35"/>
      <c r="B115" s="26"/>
      <c r="C115" s="26"/>
      <c r="D115" s="26"/>
      <c r="E115" s="36"/>
      <c r="F115" s="26"/>
      <c r="G115" s="26"/>
      <c r="H115" s="26"/>
    </row>
    <row r="116" customFormat="false" ht="15" hidden="false" customHeight="false" outlineLevel="0" collapsed="false">
      <c r="A116" s="35"/>
      <c r="B116" s="26"/>
      <c r="C116" s="26"/>
      <c r="D116" s="26"/>
      <c r="E116" s="36"/>
      <c r="F116" s="26"/>
      <c r="G116" s="26"/>
      <c r="H116" s="26"/>
    </row>
    <row r="117" customFormat="false" ht="15" hidden="false" customHeight="false" outlineLevel="0" collapsed="false">
      <c r="A117" s="35"/>
      <c r="B117" s="26"/>
      <c r="C117" s="26"/>
      <c r="D117" s="26"/>
      <c r="E117" s="36"/>
      <c r="F117" s="26"/>
      <c r="G117" s="26"/>
      <c r="H117" s="26"/>
    </row>
    <row r="118" customFormat="false" ht="15" hidden="false" customHeight="false" outlineLevel="0" collapsed="false">
      <c r="A118" s="35"/>
      <c r="B118" s="26"/>
      <c r="C118" s="26"/>
      <c r="D118" s="26"/>
      <c r="E118" s="36"/>
      <c r="F118" s="26"/>
      <c r="G118" s="26"/>
      <c r="H118" s="26"/>
    </row>
    <row r="119" customFormat="false" ht="15" hidden="false" customHeight="false" outlineLevel="0" collapsed="false">
      <c r="A119" s="35"/>
      <c r="B119" s="26"/>
      <c r="C119" s="26"/>
      <c r="D119" s="26"/>
      <c r="E119" s="36"/>
      <c r="F119" s="26"/>
      <c r="G119" s="26"/>
      <c r="H119" s="26"/>
    </row>
    <row r="120" customFormat="false" ht="15" hidden="false" customHeight="false" outlineLevel="0" collapsed="false">
      <c r="A120" s="35"/>
      <c r="B120" s="26"/>
      <c r="C120" s="26"/>
      <c r="D120" s="26"/>
      <c r="E120" s="36"/>
      <c r="F120" s="26"/>
      <c r="G120" s="26"/>
      <c r="H120" s="26"/>
    </row>
    <row r="121" customFormat="false" ht="15" hidden="false" customHeight="false" outlineLevel="0" collapsed="false">
      <c r="A121" s="35"/>
      <c r="B121" s="26"/>
      <c r="C121" s="26"/>
      <c r="D121" s="26"/>
      <c r="E121" s="36"/>
      <c r="F121" s="26"/>
      <c r="G121" s="26"/>
      <c r="H121" s="26"/>
    </row>
    <row r="122" customFormat="false" ht="15" hidden="false" customHeight="false" outlineLevel="0" collapsed="false">
      <c r="A122" s="35"/>
      <c r="B122" s="26"/>
      <c r="C122" s="26"/>
      <c r="D122" s="26"/>
      <c r="E122" s="36"/>
      <c r="F122" s="26"/>
      <c r="G122" s="26"/>
      <c r="H122" s="26"/>
    </row>
    <row r="123" customFormat="false" ht="15" hidden="false" customHeight="false" outlineLevel="0" collapsed="false">
      <c r="A123" s="35"/>
      <c r="B123" s="26"/>
      <c r="C123" s="26"/>
      <c r="D123" s="26"/>
      <c r="E123" s="36"/>
      <c r="F123" s="26"/>
      <c r="G123" s="26"/>
      <c r="H123" s="26"/>
    </row>
    <row r="124" customFormat="false" ht="15" hidden="false" customHeight="false" outlineLevel="0" collapsed="false">
      <c r="A124" s="35"/>
      <c r="B124" s="26"/>
      <c r="C124" s="26"/>
      <c r="D124" s="26"/>
      <c r="E124" s="36"/>
      <c r="F124" s="26"/>
      <c r="G124" s="26"/>
      <c r="H124" s="26"/>
    </row>
    <row r="125" customFormat="false" ht="15" hidden="false" customHeight="false" outlineLevel="0" collapsed="false">
      <c r="A125" s="35"/>
      <c r="B125" s="26"/>
      <c r="C125" s="26"/>
      <c r="D125" s="26"/>
      <c r="E125" s="36"/>
      <c r="F125" s="26"/>
      <c r="G125" s="26"/>
      <c r="H125" s="26"/>
    </row>
    <row r="126" customFormat="false" ht="15" hidden="false" customHeight="false" outlineLevel="0" collapsed="false">
      <c r="A126" s="35"/>
      <c r="B126" s="26"/>
      <c r="C126" s="26"/>
      <c r="D126" s="26"/>
      <c r="E126" s="36"/>
      <c r="F126" s="26"/>
      <c r="G126" s="26"/>
      <c r="H126" s="26"/>
    </row>
    <row r="127" customFormat="false" ht="15" hidden="false" customHeight="false" outlineLevel="0" collapsed="false">
      <c r="A127" s="35"/>
      <c r="B127" s="26"/>
      <c r="C127" s="26"/>
      <c r="D127" s="26"/>
      <c r="E127" s="36"/>
      <c r="F127" s="26"/>
      <c r="G127" s="26"/>
      <c r="H127" s="26"/>
    </row>
    <row r="128" customFormat="false" ht="15" hidden="false" customHeight="false" outlineLevel="0" collapsed="false">
      <c r="A128" s="35"/>
      <c r="B128" s="26"/>
      <c r="C128" s="26"/>
      <c r="D128" s="26"/>
      <c r="E128" s="36"/>
      <c r="F128" s="26"/>
      <c r="G128" s="26"/>
      <c r="H128" s="26"/>
    </row>
    <row r="129" customFormat="false" ht="15" hidden="false" customHeight="false" outlineLevel="0" collapsed="false">
      <c r="A129" s="35"/>
      <c r="B129" s="26"/>
      <c r="C129" s="26"/>
      <c r="D129" s="26"/>
      <c r="E129" s="36"/>
      <c r="F129" s="26"/>
      <c r="G129" s="26"/>
      <c r="H129" s="26"/>
    </row>
    <row r="130" customFormat="false" ht="15" hidden="false" customHeight="false" outlineLevel="0" collapsed="false">
      <c r="A130" s="35"/>
      <c r="B130" s="26"/>
      <c r="C130" s="26"/>
      <c r="D130" s="26"/>
      <c r="E130" s="36"/>
      <c r="F130" s="26"/>
      <c r="G130" s="26"/>
      <c r="H130" s="26"/>
    </row>
    <row r="131" customFormat="false" ht="15" hidden="false" customHeight="false" outlineLevel="0" collapsed="false">
      <c r="A131" s="35"/>
      <c r="B131" s="26"/>
      <c r="C131" s="26"/>
      <c r="D131" s="26"/>
      <c r="E131" s="36"/>
      <c r="F131" s="26"/>
      <c r="G131" s="26"/>
      <c r="H131" s="26"/>
    </row>
    <row r="132" customFormat="false" ht="15" hidden="false" customHeight="false" outlineLevel="0" collapsed="false">
      <c r="A132" s="35"/>
      <c r="B132" s="26"/>
      <c r="C132" s="26"/>
      <c r="D132" s="26"/>
      <c r="E132" s="36"/>
      <c r="F132" s="26"/>
      <c r="G132" s="26"/>
      <c r="H132" s="26"/>
    </row>
    <row r="133" customFormat="false" ht="15" hidden="false" customHeight="false" outlineLevel="0" collapsed="false">
      <c r="A133" s="35"/>
      <c r="B133" s="26"/>
      <c r="C133" s="26"/>
      <c r="D133" s="26"/>
      <c r="E133" s="36"/>
      <c r="F133" s="26"/>
      <c r="G133" s="26"/>
      <c r="H133" s="26"/>
    </row>
    <row r="134" customFormat="false" ht="15" hidden="false" customHeight="false" outlineLevel="0" collapsed="false">
      <c r="A134" s="35"/>
      <c r="B134" s="26"/>
      <c r="C134" s="26"/>
      <c r="D134" s="26"/>
      <c r="E134" s="36"/>
      <c r="F134" s="26"/>
      <c r="G134" s="26"/>
      <c r="H134" s="26"/>
    </row>
    <row r="135" customFormat="false" ht="15" hidden="false" customHeight="false" outlineLevel="0" collapsed="false">
      <c r="A135" s="35"/>
      <c r="B135" s="26"/>
      <c r="C135" s="26"/>
      <c r="D135" s="26"/>
      <c r="E135" s="36"/>
      <c r="F135" s="26"/>
      <c r="G135" s="26"/>
      <c r="H135" s="26"/>
    </row>
    <row r="136" customFormat="false" ht="15" hidden="false" customHeight="false" outlineLevel="0" collapsed="false">
      <c r="A136" s="35"/>
      <c r="B136" s="26"/>
      <c r="C136" s="26"/>
      <c r="D136" s="26"/>
      <c r="E136" s="36"/>
      <c r="F136" s="26"/>
      <c r="G136" s="26"/>
      <c r="H136" s="26"/>
    </row>
    <row r="137" customFormat="false" ht="15" hidden="false" customHeight="false" outlineLevel="0" collapsed="false">
      <c r="A137" s="35"/>
      <c r="B137" s="26"/>
      <c r="C137" s="26"/>
      <c r="D137" s="26"/>
      <c r="E137" s="36"/>
      <c r="F137" s="26"/>
      <c r="G137" s="26"/>
      <c r="H137" s="26"/>
    </row>
    <row r="138" customFormat="false" ht="15" hidden="false" customHeight="false" outlineLevel="0" collapsed="false">
      <c r="A138" s="35"/>
      <c r="B138" s="26"/>
      <c r="C138" s="26"/>
      <c r="D138" s="26"/>
      <c r="E138" s="36"/>
      <c r="F138" s="26"/>
      <c r="G138" s="26"/>
      <c r="H138" s="26"/>
    </row>
    <row r="139" customFormat="false" ht="15" hidden="false" customHeight="false" outlineLevel="0" collapsed="false">
      <c r="A139" s="35"/>
      <c r="B139" s="26"/>
      <c r="C139" s="26"/>
      <c r="D139" s="26"/>
      <c r="E139" s="36"/>
      <c r="F139" s="26"/>
      <c r="G139" s="26"/>
      <c r="H139" s="26"/>
    </row>
    <row r="140" customFormat="false" ht="15" hidden="false" customHeight="false" outlineLevel="0" collapsed="false">
      <c r="A140" s="35"/>
      <c r="B140" s="26"/>
      <c r="C140" s="26"/>
      <c r="D140" s="26"/>
      <c r="E140" s="36"/>
      <c r="F140" s="26"/>
      <c r="G140" s="26"/>
      <c r="H140" s="26"/>
    </row>
    <row r="141" customFormat="false" ht="15" hidden="false" customHeight="false" outlineLevel="0" collapsed="false">
      <c r="A141" s="35"/>
      <c r="B141" s="26"/>
      <c r="C141" s="26"/>
      <c r="D141" s="26"/>
      <c r="E141" s="36"/>
      <c r="F141" s="26"/>
      <c r="G141" s="26"/>
      <c r="H141" s="26"/>
    </row>
    <row r="142" customFormat="false" ht="15" hidden="false" customHeight="false" outlineLevel="0" collapsed="false">
      <c r="A142" s="35"/>
      <c r="B142" s="26"/>
      <c r="C142" s="26"/>
      <c r="D142" s="26"/>
      <c r="E142" s="36"/>
      <c r="F142" s="26"/>
      <c r="G142" s="26"/>
      <c r="H142" s="26"/>
    </row>
    <row r="143" customFormat="false" ht="15" hidden="false" customHeight="false" outlineLevel="0" collapsed="false">
      <c r="A143" s="35"/>
      <c r="B143" s="26"/>
      <c r="C143" s="26"/>
      <c r="D143" s="26"/>
      <c r="E143" s="36"/>
      <c r="F143" s="26"/>
      <c r="G143" s="26"/>
      <c r="H143" s="26"/>
    </row>
    <row r="144" customFormat="false" ht="15" hidden="false" customHeight="false" outlineLevel="0" collapsed="false">
      <c r="A144" s="35"/>
      <c r="B144" s="26"/>
      <c r="C144" s="26"/>
      <c r="D144" s="26"/>
      <c r="E144" s="36"/>
      <c r="F144" s="26"/>
      <c r="G144" s="26"/>
      <c r="H144" s="26"/>
    </row>
    <row r="145" customFormat="false" ht="15" hidden="false" customHeight="false" outlineLevel="0" collapsed="false">
      <c r="A145" s="35"/>
      <c r="B145" s="26"/>
      <c r="C145" s="26"/>
      <c r="D145" s="26"/>
      <c r="E145" s="36"/>
      <c r="F145" s="26"/>
      <c r="G145" s="26"/>
      <c r="H145" s="26"/>
    </row>
    <row r="146" customFormat="false" ht="15" hidden="false" customHeight="false" outlineLevel="0" collapsed="false">
      <c r="A146" s="35"/>
      <c r="B146" s="26"/>
      <c r="C146" s="26"/>
      <c r="D146" s="26"/>
      <c r="E146" s="36"/>
      <c r="F146" s="26"/>
      <c r="G146" s="26"/>
      <c r="H146" s="26"/>
    </row>
    <row r="147" customFormat="false" ht="15" hidden="false" customHeight="false" outlineLevel="0" collapsed="false">
      <c r="A147" s="35"/>
      <c r="B147" s="26"/>
      <c r="C147" s="26"/>
      <c r="D147" s="26"/>
      <c r="E147" s="36"/>
      <c r="F147" s="26"/>
      <c r="G147" s="26"/>
      <c r="H147" s="26"/>
    </row>
    <row r="148" customFormat="false" ht="15" hidden="false" customHeight="false" outlineLevel="0" collapsed="false">
      <c r="A148" s="35"/>
      <c r="B148" s="26"/>
      <c r="C148" s="26"/>
      <c r="D148" s="26"/>
      <c r="E148" s="36"/>
      <c r="F148" s="26"/>
      <c r="G148" s="26"/>
      <c r="H148" s="26"/>
    </row>
    <row r="149" customFormat="false" ht="15" hidden="false" customHeight="false" outlineLevel="0" collapsed="false">
      <c r="A149" s="35"/>
      <c r="B149" s="26"/>
      <c r="C149" s="26"/>
      <c r="D149" s="26"/>
      <c r="E149" s="36"/>
      <c r="F149" s="26"/>
      <c r="G149" s="26"/>
      <c r="H149" s="26"/>
    </row>
    <row r="150" customFormat="false" ht="15" hidden="false" customHeight="false" outlineLevel="0" collapsed="false">
      <c r="A150" s="35"/>
      <c r="B150" s="26"/>
      <c r="C150" s="26"/>
      <c r="D150" s="26"/>
      <c r="E150" s="36"/>
      <c r="F150" s="26"/>
      <c r="G150" s="26"/>
      <c r="H150" s="26"/>
    </row>
    <row r="151" customFormat="false" ht="15" hidden="false" customHeight="false" outlineLevel="0" collapsed="false">
      <c r="A151" s="35"/>
      <c r="B151" s="26"/>
      <c r="C151" s="26"/>
      <c r="D151" s="26"/>
      <c r="E151" s="36"/>
      <c r="F151" s="26"/>
      <c r="G151" s="26"/>
      <c r="H151" s="26"/>
    </row>
    <row r="152" customFormat="false" ht="15" hidden="false" customHeight="false" outlineLevel="0" collapsed="false">
      <c r="A152" s="35"/>
      <c r="B152" s="26"/>
      <c r="C152" s="26"/>
      <c r="D152" s="26"/>
      <c r="E152" s="36"/>
      <c r="F152" s="26"/>
      <c r="G152" s="26"/>
      <c r="H152" s="26"/>
    </row>
    <row r="153" customFormat="false" ht="15" hidden="false" customHeight="false" outlineLevel="0" collapsed="false">
      <c r="A153" s="35"/>
      <c r="B153" s="26"/>
      <c r="C153" s="26"/>
      <c r="D153" s="26"/>
      <c r="E153" s="36"/>
      <c r="F153" s="26"/>
      <c r="G153" s="26"/>
      <c r="H153" s="26"/>
    </row>
    <row r="154" customFormat="false" ht="15" hidden="false" customHeight="false" outlineLevel="0" collapsed="false">
      <c r="A154" s="35"/>
      <c r="B154" s="26"/>
      <c r="C154" s="26"/>
      <c r="D154" s="26"/>
      <c r="E154" s="36"/>
      <c r="F154" s="26"/>
      <c r="G154" s="26"/>
      <c r="H154" s="26"/>
    </row>
    <row r="155" customFormat="false" ht="15" hidden="false" customHeight="false" outlineLevel="0" collapsed="false">
      <c r="A155" s="35"/>
      <c r="B155" s="26"/>
      <c r="C155" s="26"/>
      <c r="D155" s="26"/>
      <c r="E155" s="36"/>
      <c r="F155" s="26"/>
      <c r="G155" s="26"/>
      <c r="H155" s="26"/>
    </row>
    <row r="156" customFormat="false" ht="15" hidden="false" customHeight="false" outlineLevel="0" collapsed="false">
      <c r="A156" s="35"/>
      <c r="B156" s="26"/>
      <c r="C156" s="26"/>
      <c r="D156" s="26"/>
      <c r="E156" s="36"/>
      <c r="F156" s="26"/>
      <c r="G156" s="26"/>
      <c r="H156" s="26"/>
    </row>
    <row r="157" customFormat="false" ht="15" hidden="false" customHeight="false" outlineLevel="0" collapsed="false">
      <c r="A157" s="35"/>
      <c r="B157" s="26"/>
      <c r="C157" s="26"/>
      <c r="D157" s="26"/>
      <c r="E157" s="36"/>
      <c r="F157" s="26"/>
      <c r="G157" s="26"/>
      <c r="H157" s="26"/>
    </row>
    <row r="158" customFormat="false" ht="15" hidden="false" customHeight="false" outlineLevel="0" collapsed="false">
      <c r="A158" s="35"/>
      <c r="B158" s="26"/>
      <c r="C158" s="26"/>
      <c r="D158" s="26"/>
      <c r="E158" s="36"/>
      <c r="F158" s="26"/>
      <c r="G158" s="26"/>
      <c r="H158" s="26"/>
    </row>
    <row r="159" customFormat="false" ht="15" hidden="false" customHeight="false" outlineLevel="0" collapsed="false">
      <c r="A159" s="35"/>
      <c r="B159" s="26"/>
      <c r="C159" s="26"/>
      <c r="D159" s="26"/>
      <c r="E159" s="36"/>
      <c r="F159" s="26"/>
      <c r="G159" s="26"/>
      <c r="H159" s="26"/>
    </row>
    <row r="160" customFormat="false" ht="15" hidden="false" customHeight="false" outlineLevel="0" collapsed="false">
      <c r="A160" s="35"/>
      <c r="B160" s="26"/>
      <c r="C160" s="26"/>
      <c r="D160" s="26"/>
      <c r="E160" s="36"/>
      <c r="F160" s="26"/>
      <c r="G160" s="26"/>
      <c r="H160" s="26"/>
    </row>
    <row r="161" customFormat="false" ht="15" hidden="false" customHeight="false" outlineLevel="0" collapsed="false">
      <c r="A161" s="35"/>
      <c r="B161" s="26"/>
      <c r="C161" s="26"/>
      <c r="D161" s="26"/>
      <c r="E161" s="36"/>
      <c r="F161" s="26"/>
      <c r="G161" s="26"/>
      <c r="H161" s="26"/>
    </row>
    <row r="162" customFormat="false" ht="15" hidden="false" customHeight="false" outlineLevel="0" collapsed="false">
      <c r="A162" s="35"/>
      <c r="B162" s="26"/>
      <c r="C162" s="26"/>
      <c r="D162" s="26"/>
      <c r="E162" s="36"/>
      <c r="F162" s="26"/>
      <c r="G162" s="26"/>
      <c r="H162" s="26"/>
    </row>
    <row r="163" customFormat="false" ht="15" hidden="false" customHeight="false" outlineLevel="0" collapsed="false">
      <c r="A163" s="35"/>
      <c r="B163" s="26"/>
      <c r="C163" s="26"/>
      <c r="D163" s="26"/>
      <c r="E163" s="36"/>
      <c r="F163" s="26"/>
      <c r="G163" s="26"/>
      <c r="H163" s="26"/>
    </row>
    <row r="164" customFormat="false" ht="15" hidden="false" customHeight="false" outlineLevel="0" collapsed="false">
      <c r="A164" s="35"/>
      <c r="B164" s="26"/>
      <c r="C164" s="26"/>
      <c r="D164" s="26"/>
      <c r="E164" s="36"/>
      <c r="F164" s="26"/>
      <c r="G164" s="26"/>
      <c r="H164" s="26"/>
    </row>
    <row r="165" customFormat="false" ht="15" hidden="false" customHeight="false" outlineLevel="0" collapsed="false">
      <c r="A165" s="35"/>
      <c r="B165" s="26"/>
      <c r="C165" s="26"/>
      <c r="D165" s="26"/>
      <c r="E165" s="36"/>
      <c r="F165" s="26"/>
      <c r="G165" s="26"/>
      <c r="H165" s="26"/>
    </row>
    <row r="166" customFormat="false" ht="15" hidden="false" customHeight="false" outlineLevel="0" collapsed="false">
      <c r="A166" s="35"/>
      <c r="B166" s="26"/>
      <c r="C166" s="26"/>
      <c r="D166" s="26"/>
      <c r="E166" s="36"/>
      <c r="F166" s="26"/>
      <c r="G166" s="26"/>
      <c r="H166" s="26"/>
    </row>
    <row r="167" customFormat="false" ht="15" hidden="false" customHeight="false" outlineLevel="0" collapsed="false">
      <c r="A167" s="35"/>
      <c r="B167" s="26"/>
      <c r="C167" s="26"/>
      <c r="D167" s="26"/>
      <c r="E167" s="36"/>
      <c r="F167" s="26"/>
      <c r="G167" s="26"/>
      <c r="H167" s="26"/>
    </row>
    <row r="168" customFormat="false" ht="15" hidden="false" customHeight="false" outlineLevel="0" collapsed="false">
      <c r="A168" s="35"/>
      <c r="B168" s="26"/>
      <c r="C168" s="26"/>
      <c r="D168" s="26"/>
      <c r="E168" s="36"/>
      <c r="F168" s="26"/>
      <c r="G168" s="26"/>
      <c r="H168" s="26"/>
    </row>
    <row r="169" customFormat="false" ht="15" hidden="false" customHeight="false" outlineLevel="0" collapsed="false">
      <c r="A169" s="35"/>
      <c r="B169" s="26"/>
      <c r="C169" s="26"/>
      <c r="D169" s="26"/>
      <c r="E169" s="36"/>
      <c r="F169" s="26"/>
      <c r="G169" s="26"/>
      <c r="H169" s="26"/>
    </row>
    <row r="170" customFormat="false" ht="15" hidden="false" customHeight="false" outlineLevel="0" collapsed="false">
      <c r="A170" s="35"/>
      <c r="B170" s="26"/>
      <c r="C170" s="26"/>
      <c r="D170" s="26"/>
      <c r="E170" s="36"/>
      <c r="F170" s="26"/>
      <c r="G170" s="26"/>
      <c r="H170" s="26"/>
    </row>
    <row r="171" customFormat="false" ht="15" hidden="false" customHeight="false" outlineLevel="0" collapsed="false">
      <c r="A171" s="35"/>
      <c r="B171" s="26"/>
      <c r="C171" s="26"/>
      <c r="D171" s="26"/>
      <c r="E171" s="36"/>
      <c r="F171" s="26"/>
      <c r="G171" s="26"/>
      <c r="H171" s="26"/>
    </row>
    <row r="172" customFormat="false" ht="15" hidden="false" customHeight="false" outlineLevel="0" collapsed="false">
      <c r="A172" s="35"/>
      <c r="B172" s="26"/>
      <c r="C172" s="26"/>
      <c r="D172" s="26"/>
      <c r="E172" s="36"/>
      <c r="F172" s="26"/>
      <c r="G172" s="26"/>
      <c r="H172" s="26"/>
    </row>
    <row r="173" customFormat="false" ht="15" hidden="false" customHeight="false" outlineLevel="0" collapsed="false">
      <c r="A173" s="35"/>
      <c r="B173" s="26"/>
      <c r="C173" s="26"/>
      <c r="D173" s="26"/>
      <c r="E173" s="36"/>
      <c r="F173" s="26"/>
      <c r="G173" s="26"/>
      <c r="H173" s="26"/>
    </row>
    <row r="174" customFormat="false" ht="15" hidden="false" customHeight="false" outlineLevel="0" collapsed="false">
      <c r="A174" s="35"/>
      <c r="B174" s="26"/>
      <c r="C174" s="26"/>
      <c r="D174" s="26"/>
      <c r="E174" s="36"/>
      <c r="F174" s="26"/>
      <c r="G174" s="26"/>
      <c r="H174" s="26"/>
    </row>
    <row r="175" customFormat="false" ht="15" hidden="false" customHeight="false" outlineLevel="0" collapsed="false">
      <c r="A175" s="35"/>
      <c r="B175" s="26"/>
      <c r="C175" s="26"/>
      <c r="D175" s="26"/>
      <c r="E175" s="36"/>
      <c r="F175" s="26"/>
      <c r="G175" s="26"/>
      <c r="H175" s="26"/>
    </row>
    <row r="176" customFormat="false" ht="15" hidden="false" customHeight="false" outlineLevel="0" collapsed="false">
      <c r="A176" s="35"/>
      <c r="B176" s="26"/>
      <c r="C176" s="26"/>
      <c r="D176" s="26"/>
      <c r="E176" s="36"/>
      <c r="F176" s="26"/>
      <c r="G176" s="26"/>
      <c r="H176" s="26"/>
    </row>
    <row r="177" customFormat="false" ht="15" hidden="false" customHeight="false" outlineLevel="0" collapsed="false">
      <c r="A177" s="35"/>
      <c r="B177" s="26"/>
      <c r="C177" s="26"/>
      <c r="D177" s="26"/>
      <c r="E177" s="36"/>
      <c r="F177" s="26"/>
      <c r="G177" s="26"/>
      <c r="H177" s="26"/>
    </row>
    <row r="178" customFormat="false" ht="15" hidden="false" customHeight="false" outlineLevel="0" collapsed="false">
      <c r="A178" s="35"/>
      <c r="B178" s="26"/>
      <c r="C178" s="26"/>
      <c r="D178" s="26"/>
      <c r="E178" s="36"/>
      <c r="F178" s="26"/>
      <c r="G178" s="26"/>
      <c r="H178" s="26"/>
    </row>
    <row r="179" customFormat="false" ht="15" hidden="false" customHeight="false" outlineLevel="0" collapsed="false">
      <c r="A179" s="35"/>
      <c r="B179" s="26"/>
      <c r="C179" s="26"/>
      <c r="D179" s="26"/>
      <c r="E179" s="36"/>
      <c r="F179" s="26"/>
      <c r="G179" s="26"/>
      <c r="H179" s="26"/>
    </row>
    <row r="180" customFormat="false" ht="15" hidden="false" customHeight="false" outlineLevel="0" collapsed="false">
      <c r="A180" s="35"/>
      <c r="B180" s="26"/>
      <c r="C180" s="26"/>
      <c r="D180" s="26"/>
      <c r="E180" s="36"/>
      <c r="F180" s="26"/>
      <c r="G180" s="26"/>
      <c r="H180" s="26"/>
    </row>
    <row r="181" customFormat="false" ht="15" hidden="false" customHeight="false" outlineLevel="0" collapsed="false">
      <c r="A181" s="35"/>
      <c r="B181" s="26"/>
      <c r="C181" s="26"/>
      <c r="D181" s="26"/>
      <c r="E181" s="36"/>
      <c r="F181" s="26"/>
      <c r="G181" s="26"/>
      <c r="H181" s="26"/>
    </row>
    <row r="182" customFormat="false" ht="15" hidden="false" customHeight="false" outlineLevel="0" collapsed="false">
      <c r="A182" s="35"/>
      <c r="B182" s="26"/>
      <c r="C182" s="26"/>
      <c r="D182" s="26"/>
      <c r="E182" s="36"/>
      <c r="F182" s="26"/>
      <c r="G182" s="26"/>
      <c r="H182" s="26"/>
    </row>
    <row r="183" customFormat="false" ht="15" hidden="false" customHeight="false" outlineLevel="0" collapsed="false">
      <c r="A183" s="35"/>
      <c r="B183" s="26"/>
      <c r="C183" s="26"/>
      <c r="D183" s="26"/>
      <c r="E183" s="36"/>
      <c r="F183" s="26"/>
      <c r="G183" s="26"/>
      <c r="H183" s="26"/>
    </row>
    <row r="184" customFormat="false" ht="15" hidden="false" customHeight="false" outlineLevel="0" collapsed="false">
      <c r="A184" s="35"/>
      <c r="B184" s="26"/>
      <c r="C184" s="26"/>
      <c r="D184" s="26"/>
      <c r="E184" s="36"/>
      <c r="F184" s="26"/>
      <c r="G184" s="26"/>
      <c r="H184" s="26"/>
    </row>
    <row r="185" customFormat="false" ht="15" hidden="false" customHeight="false" outlineLevel="0" collapsed="false">
      <c r="A185" s="35"/>
      <c r="B185" s="26"/>
      <c r="C185" s="26"/>
      <c r="D185" s="26"/>
      <c r="E185" s="36"/>
      <c r="F185" s="26"/>
      <c r="G185" s="26"/>
      <c r="H185" s="26"/>
    </row>
    <row r="186" customFormat="false" ht="15" hidden="false" customHeight="false" outlineLevel="0" collapsed="false">
      <c r="A186" s="35"/>
      <c r="B186" s="26"/>
      <c r="C186" s="26"/>
      <c r="D186" s="26"/>
      <c r="E186" s="36"/>
      <c r="F186" s="26"/>
      <c r="G186" s="26"/>
      <c r="H186" s="26"/>
    </row>
    <row r="187" customFormat="false" ht="15" hidden="false" customHeight="false" outlineLevel="0" collapsed="false">
      <c r="A187" s="35"/>
      <c r="B187" s="26"/>
      <c r="C187" s="26"/>
      <c r="D187" s="26"/>
      <c r="E187" s="36"/>
      <c r="F187" s="26"/>
      <c r="G187" s="26"/>
      <c r="H187" s="26"/>
    </row>
    <row r="188" customFormat="false" ht="15" hidden="false" customHeight="false" outlineLevel="0" collapsed="false">
      <c r="A188" s="35"/>
      <c r="B188" s="26"/>
      <c r="C188" s="26"/>
      <c r="D188" s="26"/>
      <c r="E188" s="36"/>
      <c r="F188" s="26"/>
      <c r="G188" s="26"/>
      <c r="H188" s="26"/>
    </row>
    <row r="189" customFormat="false" ht="15" hidden="false" customHeight="false" outlineLevel="0" collapsed="false">
      <c r="A189" s="35"/>
      <c r="B189" s="26"/>
      <c r="C189" s="26"/>
      <c r="D189" s="26"/>
      <c r="E189" s="36"/>
      <c r="F189" s="26"/>
      <c r="G189" s="26"/>
      <c r="H189" s="26"/>
    </row>
    <row r="190" customFormat="false" ht="15" hidden="false" customHeight="false" outlineLevel="0" collapsed="false">
      <c r="A190" s="35"/>
      <c r="B190" s="26"/>
      <c r="C190" s="26"/>
      <c r="D190" s="26"/>
      <c r="E190" s="36"/>
      <c r="F190" s="26"/>
      <c r="G190" s="26"/>
      <c r="H190" s="26"/>
    </row>
    <row r="191" customFormat="false" ht="15" hidden="false" customHeight="false" outlineLevel="0" collapsed="false">
      <c r="A191" s="35"/>
      <c r="B191" s="26"/>
      <c r="C191" s="26"/>
      <c r="D191" s="26"/>
      <c r="E191" s="36"/>
      <c r="F191" s="26"/>
      <c r="G191" s="26"/>
      <c r="H191" s="26"/>
    </row>
    <row r="192" customFormat="false" ht="15" hidden="false" customHeight="false" outlineLevel="0" collapsed="false">
      <c r="A192" s="35"/>
      <c r="B192" s="26"/>
      <c r="C192" s="26"/>
      <c r="D192" s="26"/>
      <c r="E192" s="36"/>
      <c r="F192" s="26"/>
      <c r="G192" s="26"/>
      <c r="H192" s="26"/>
    </row>
    <row r="193" customFormat="false" ht="15" hidden="false" customHeight="false" outlineLevel="0" collapsed="false">
      <c r="A193" s="35"/>
      <c r="B193" s="26"/>
      <c r="C193" s="26"/>
      <c r="D193" s="26"/>
      <c r="E193" s="36"/>
      <c r="F193" s="26"/>
      <c r="G193" s="26"/>
      <c r="H193" s="26"/>
    </row>
    <row r="194" customFormat="false" ht="15" hidden="false" customHeight="false" outlineLevel="0" collapsed="false">
      <c r="A194" s="35"/>
      <c r="B194" s="26"/>
      <c r="C194" s="26"/>
      <c r="D194" s="26"/>
      <c r="E194" s="36"/>
      <c r="F194" s="26"/>
      <c r="G194" s="26"/>
      <c r="H194" s="26"/>
    </row>
    <row r="195" customFormat="false" ht="15" hidden="false" customHeight="false" outlineLevel="0" collapsed="false">
      <c r="A195" s="35"/>
      <c r="B195" s="26"/>
      <c r="C195" s="26"/>
      <c r="D195" s="26"/>
      <c r="E195" s="36"/>
      <c r="F195" s="26"/>
      <c r="G195" s="26"/>
      <c r="H195" s="26"/>
    </row>
    <row r="196" customFormat="false" ht="15" hidden="false" customHeight="false" outlineLevel="0" collapsed="false">
      <c r="A196" s="35"/>
      <c r="B196" s="26"/>
      <c r="C196" s="26"/>
      <c r="D196" s="26"/>
      <c r="E196" s="36"/>
      <c r="F196" s="26"/>
      <c r="G196" s="26"/>
      <c r="H196" s="26"/>
    </row>
    <row r="197" customFormat="false" ht="15" hidden="false" customHeight="false" outlineLevel="0" collapsed="false">
      <c r="A197" s="35"/>
      <c r="B197" s="26"/>
      <c r="C197" s="26"/>
      <c r="D197" s="26"/>
      <c r="E197" s="36"/>
      <c r="F197" s="26"/>
      <c r="G197" s="26"/>
      <c r="H197" s="26"/>
    </row>
    <row r="198" customFormat="false" ht="15" hidden="false" customHeight="false" outlineLevel="0" collapsed="false">
      <c r="A198" s="35"/>
      <c r="B198" s="26"/>
      <c r="C198" s="26"/>
      <c r="D198" s="26"/>
      <c r="E198" s="36"/>
      <c r="F198" s="26"/>
      <c r="G198" s="26"/>
      <c r="H198" s="26"/>
    </row>
    <row r="199" customFormat="false" ht="15" hidden="false" customHeight="false" outlineLevel="0" collapsed="false">
      <c r="A199" s="35"/>
      <c r="B199" s="26"/>
      <c r="C199" s="26"/>
      <c r="D199" s="26"/>
      <c r="E199" s="36"/>
      <c r="F199" s="26"/>
      <c r="G199" s="26"/>
      <c r="H199" s="26"/>
    </row>
    <row r="200" customFormat="false" ht="15" hidden="false" customHeight="false" outlineLevel="0" collapsed="false">
      <c r="A200" s="35"/>
      <c r="B200" s="26"/>
      <c r="C200" s="26"/>
      <c r="D200" s="26"/>
      <c r="E200" s="36"/>
      <c r="F200" s="26"/>
      <c r="G200" s="26"/>
      <c r="H200" s="26"/>
    </row>
    <row r="201" customFormat="false" ht="15" hidden="false" customHeight="false" outlineLevel="0" collapsed="false">
      <c r="A201" s="35"/>
      <c r="B201" s="26"/>
      <c r="C201" s="26"/>
      <c r="D201" s="26"/>
      <c r="E201" s="36"/>
      <c r="F201" s="26"/>
      <c r="G201" s="26"/>
      <c r="H201" s="26"/>
    </row>
    <row r="202" customFormat="false" ht="15" hidden="false" customHeight="false" outlineLevel="0" collapsed="false">
      <c r="A202" s="35"/>
      <c r="B202" s="26"/>
      <c r="C202" s="26"/>
      <c r="D202" s="26"/>
      <c r="E202" s="36"/>
      <c r="F202" s="26"/>
      <c r="G202" s="26"/>
      <c r="H202" s="26"/>
    </row>
    <row r="203" customFormat="false" ht="15" hidden="false" customHeight="false" outlineLevel="0" collapsed="false">
      <c r="A203" s="35"/>
      <c r="B203" s="26"/>
      <c r="C203" s="26"/>
      <c r="D203" s="26"/>
      <c r="E203" s="36"/>
      <c r="F203" s="26"/>
      <c r="G203" s="26"/>
      <c r="H203" s="26"/>
    </row>
    <row r="204" customFormat="false" ht="15" hidden="false" customHeight="false" outlineLevel="0" collapsed="false">
      <c r="A204" s="35"/>
      <c r="B204" s="26"/>
      <c r="C204" s="26"/>
      <c r="D204" s="26"/>
      <c r="E204" s="36"/>
      <c r="F204" s="26"/>
      <c r="G204" s="26"/>
      <c r="H204" s="26"/>
    </row>
    <row r="205" customFormat="false" ht="15" hidden="false" customHeight="false" outlineLevel="0" collapsed="false">
      <c r="A205" s="35"/>
      <c r="B205" s="26"/>
      <c r="C205" s="26"/>
      <c r="D205" s="26"/>
      <c r="E205" s="36"/>
      <c r="F205" s="26"/>
      <c r="G205" s="26"/>
      <c r="H205" s="26"/>
    </row>
    <row r="206" customFormat="false" ht="15" hidden="false" customHeight="false" outlineLevel="0" collapsed="false">
      <c r="A206" s="35"/>
      <c r="B206" s="26"/>
      <c r="C206" s="26"/>
      <c r="D206" s="26"/>
      <c r="E206" s="36"/>
      <c r="F206" s="26"/>
      <c r="G206" s="26"/>
      <c r="H206" s="26"/>
    </row>
    <row r="207" customFormat="false" ht="15" hidden="false" customHeight="false" outlineLevel="0" collapsed="false">
      <c r="A207" s="35"/>
      <c r="B207" s="26"/>
      <c r="C207" s="26"/>
      <c r="D207" s="26"/>
      <c r="E207" s="36"/>
      <c r="F207" s="26"/>
      <c r="G207" s="26"/>
      <c r="H207" s="26"/>
    </row>
    <row r="208" customFormat="false" ht="15" hidden="false" customHeight="false" outlineLevel="0" collapsed="false">
      <c r="A208" s="35"/>
      <c r="B208" s="26"/>
      <c r="C208" s="26"/>
      <c r="D208" s="26"/>
      <c r="E208" s="36"/>
      <c r="F208" s="26"/>
      <c r="G208" s="26"/>
      <c r="H208" s="26"/>
    </row>
    <row r="209" customFormat="false" ht="15" hidden="false" customHeight="false" outlineLevel="0" collapsed="false">
      <c r="A209" s="35"/>
      <c r="B209" s="26"/>
      <c r="C209" s="26"/>
      <c r="D209" s="26"/>
      <c r="E209" s="36"/>
      <c r="F209" s="26"/>
      <c r="G209" s="26"/>
      <c r="H209" s="26"/>
    </row>
    <row r="210" customFormat="false" ht="15" hidden="false" customHeight="false" outlineLevel="0" collapsed="false">
      <c r="A210" s="35"/>
      <c r="B210" s="26"/>
      <c r="C210" s="26"/>
      <c r="D210" s="26"/>
      <c r="E210" s="36"/>
      <c r="F210" s="26"/>
      <c r="G210" s="26"/>
      <c r="H210" s="26"/>
    </row>
    <row r="211" customFormat="false" ht="15" hidden="false" customHeight="false" outlineLevel="0" collapsed="false">
      <c r="A211" s="35"/>
      <c r="B211" s="26"/>
      <c r="C211" s="26"/>
      <c r="D211" s="26"/>
      <c r="E211" s="36"/>
      <c r="F211" s="26"/>
      <c r="G211" s="26"/>
      <c r="H211" s="26"/>
    </row>
    <row r="212" customFormat="false" ht="15" hidden="false" customHeight="false" outlineLevel="0" collapsed="false">
      <c r="A212" s="35"/>
      <c r="B212" s="26"/>
      <c r="C212" s="26"/>
      <c r="D212" s="26"/>
      <c r="E212" s="36"/>
      <c r="F212" s="26"/>
      <c r="G212" s="26"/>
      <c r="H212" s="26"/>
    </row>
    <row r="213" customFormat="false" ht="15" hidden="false" customHeight="false" outlineLevel="0" collapsed="false">
      <c r="A213" s="35"/>
      <c r="B213" s="26"/>
      <c r="C213" s="26"/>
      <c r="D213" s="26"/>
      <c r="E213" s="36"/>
      <c r="F213" s="26"/>
      <c r="G213" s="26"/>
      <c r="H213" s="26"/>
    </row>
    <row r="214" customFormat="false" ht="15" hidden="false" customHeight="false" outlineLevel="0" collapsed="false">
      <c r="A214" s="35"/>
      <c r="B214" s="26"/>
      <c r="C214" s="26"/>
      <c r="D214" s="26"/>
      <c r="E214" s="36"/>
      <c r="F214" s="26"/>
      <c r="G214" s="26"/>
      <c r="H214" s="26"/>
    </row>
    <row r="215" customFormat="false" ht="15" hidden="false" customHeight="false" outlineLevel="0" collapsed="false">
      <c r="A215" s="35"/>
      <c r="B215" s="26"/>
      <c r="C215" s="26"/>
      <c r="D215" s="26"/>
      <c r="E215" s="36"/>
      <c r="F215" s="26"/>
      <c r="G215" s="26"/>
      <c r="H215" s="26"/>
    </row>
    <row r="216" customFormat="false" ht="15" hidden="false" customHeight="false" outlineLevel="0" collapsed="false">
      <c r="A216" s="35"/>
      <c r="B216" s="26"/>
      <c r="C216" s="26"/>
      <c r="D216" s="26"/>
      <c r="E216" s="36"/>
      <c r="F216" s="26"/>
      <c r="G216" s="26"/>
      <c r="H216" s="26"/>
    </row>
    <row r="217" customFormat="false" ht="15" hidden="false" customHeight="false" outlineLevel="0" collapsed="false">
      <c r="A217" s="35"/>
      <c r="B217" s="26"/>
      <c r="C217" s="26"/>
      <c r="D217" s="26"/>
      <c r="E217" s="36"/>
      <c r="F217" s="26"/>
      <c r="G217" s="26"/>
      <c r="H217" s="26"/>
    </row>
    <row r="218" customFormat="false" ht="15" hidden="false" customHeight="false" outlineLevel="0" collapsed="false">
      <c r="A218" s="35"/>
      <c r="B218" s="26"/>
      <c r="C218" s="26"/>
      <c r="D218" s="26"/>
      <c r="E218" s="36"/>
      <c r="F218" s="26"/>
      <c r="G218" s="26"/>
      <c r="H218" s="26"/>
    </row>
    <row r="219" customFormat="false" ht="15" hidden="false" customHeight="false" outlineLevel="0" collapsed="false">
      <c r="A219" s="35"/>
      <c r="B219" s="26"/>
      <c r="C219" s="26"/>
      <c r="D219" s="26"/>
      <c r="E219" s="36"/>
      <c r="F219" s="26"/>
      <c r="G219" s="26"/>
      <c r="H219" s="26"/>
    </row>
    <row r="220" customFormat="false" ht="15" hidden="false" customHeight="false" outlineLevel="0" collapsed="false">
      <c r="A220" s="35"/>
      <c r="B220" s="26"/>
      <c r="C220" s="26"/>
      <c r="D220" s="26"/>
      <c r="E220" s="36"/>
      <c r="F220" s="26"/>
      <c r="G220" s="26"/>
      <c r="H220" s="26"/>
    </row>
    <row r="221" customFormat="false" ht="15" hidden="false" customHeight="false" outlineLevel="0" collapsed="false">
      <c r="A221" s="35"/>
      <c r="B221" s="26"/>
      <c r="C221" s="26"/>
      <c r="D221" s="26"/>
      <c r="E221" s="36"/>
      <c r="F221" s="26"/>
      <c r="G221" s="26"/>
      <c r="H221" s="26"/>
    </row>
    <row r="222" customFormat="false" ht="15" hidden="false" customHeight="false" outlineLevel="0" collapsed="false">
      <c r="A222" s="35"/>
      <c r="B222" s="26"/>
      <c r="C222" s="26"/>
      <c r="D222" s="26"/>
      <c r="E222" s="36"/>
      <c r="F222" s="26"/>
      <c r="G222" s="26"/>
      <c r="H222" s="26"/>
    </row>
    <row r="223" customFormat="false" ht="15" hidden="false" customHeight="false" outlineLevel="0" collapsed="false">
      <c r="A223" s="35"/>
      <c r="B223" s="26"/>
      <c r="C223" s="26"/>
      <c r="D223" s="26"/>
      <c r="E223" s="36"/>
      <c r="F223" s="26"/>
      <c r="G223" s="26"/>
      <c r="H223" s="26"/>
    </row>
    <row r="224" customFormat="false" ht="15" hidden="false" customHeight="false" outlineLevel="0" collapsed="false">
      <c r="A224" s="35"/>
      <c r="B224" s="26"/>
      <c r="C224" s="26"/>
      <c r="D224" s="26"/>
      <c r="E224" s="36"/>
      <c r="F224" s="26"/>
      <c r="G224" s="26"/>
      <c r="H224" s="26"/>
    </row>
    <row r="225" customFormat="false" ht="15" hidden="false" customHeight="false" outlineLevel="0" collapsed="false">
      <c r="A225" s="35"/>
      <c r="B225" s="26"/>
      <c r="C225" s="26"/>
      <c r="D225" s="26"/>
      <c r="E225" s="36"/>
      <c r="F225" s="26"/>
      <c r="G225" s="26"/>
      <c r="H225" s="26"/>
    </row>
    <row r="226" customFormat="false" ht="15" hidden="false" customHeight="false" outlineLevel="0" collapsed="false">
      <c r="A226" s="35"/>
      <c r="B226" s="26"/>
      <c r="C226" s="26"/>
      <c r="D226" s="26"/>
      <c r="E226" s="36"/>
      <c r="F226" s="26"/>
      <c r="G226" s="26"/>
      <c r="H226" s="26"/>
    </row>
    <row r="227" customFormat="false" ht="15" hidden="false" customHeight="false" outlineLevel="0" collapsed="false">
      <c r="A227" s="35"/>
      <c r="B227" s="26"/>
      <c r="C227" s="26"/>
      <c r="D227" s="26"/>
      <c r="E227" s="36"/>
      <c r="F227" s="26"/>
      <c r="G227" s="26"/>
      <c r="H227" s="26"/>
    </row>
    <row r="228" customFormat="false" ht="15" hidden="false" customHeight="false" outlineLevel="0" collapsed="false">
      <c r="A228" s="35"/>
      <c r="B228" s="26"/>
      <c r="C228" s="26"/>
      <c r="D228" s="26"/>
      <c r="E228" s="36"/>
      <c r="F228" s="26"/>
      <c r="G228" s="26"/>
      <c r="H228" s="26"/>
    </row>
    <row r="229" customFormat="false" ht="15" hidden="false" customHeight="false" outlineLevel="0" collapsed="false">
      <c r="A229" s="35"/>
      <c r="B229" s="26"/>
      <c r="C229" s="26"/>
      <c r="D229" s="26"/>
      <c r="E229" s="36"/>
      <c r="F229" s="26"/>
      <c r="G229" s="26"/>
      <c r="H229" s="26"/>
    </row>
    <row r="230" customFormat="false" ht="15" hidden="false" customHeight="false" outlineLevel="0" collapsed="false">
      <c r="A230" s="35"/>
      <c r="B230" s="26"/>
      <c r="C230" s="26"/>
      <c r="D230" s="26"/>
      <c r="E230" s="36"/>
      <c r="F230" s="26"/>
      <c r="G230" s="26"/>
      <c r="H230" s="26"/>
    </row>
    <row r="231" customFormat="false" ht="15" hidden="false" customHeight="false" outlineLevel="0" collapsed="false">
      <c r="A231" s="35"/>
      <c r="B231" s="26"/>
      <c r="C231" s="26"/>
      <c r="D231" s="26"/>
      <c r="E231" s="36"/>
      <c r="F231" s="26"/>
      <c r="G231" s="26"/>
      <c r="H231" s="26"/>
    </row>
    <row r="232" customFormat="false" ht="15" hidden="false" customHeight="false" outlineLevel="0" collapsed="false">
      <c r="A232" s="35"/>
      <c r="B232" s="26"/>
      <c r="C232" s="26"/>
      <c r="D232" s="26"/>
      <c r="E232" s="36"/>
      <c r="F232" s="26"/>
      <c r="G232" s="26"/>
      <c r="H232" s="26"/>
    </row>
    <row r="233" customFormat="false" ht="15" hidden="false" customHeight="false" outlineLevel="0" collapsed="false">
      <c r="A233" s="35"/>
      <c r="B233" s="26"/>
      <c r="C233" s="26"/>
      <c r="D233" s="26"/>
      <c r="E233" s="36"/>
      <c r="F233" s="26"/>
      <c r="G233" s="26"/>
      <c r="H233" s="26"/>
    </row>
    <row r="234" customFormat="false" ht="15" hidden="false" customHeight="false" outlineLevel="0" collapsed="false">
      <c r="A234" s="35"/>
      <c r="B234" s="26"/>
      <c r="C234" s="26"/>
      <c r="D234" s="26"/>
      <c r="E234" s="36"/>
      <c r="F234" s="26"/>
      <c r="G234" s="26"/>
      <c r="H234" s="26"/>
    </row>
    <row r="235" customFormat="false" ht="15" hidden="false" customHeight="false" outlineLevel="0" collapsed="false">
      <c r="A235" s="35"/>
      <c r="B235" s="26"/>
      <c r="C235" s="26"/>
      <c r="D235" s="26"/>
      <c r="E235" s="36"/>
      <c r="F235" s="26"/>
      <c r="G235" s="26"/>
      <c r="H235" s="26"/>
    </row>
    <row r="236" customFormat="false" ht="15" hidden="false" customHeight="false" outlineLevel="0" collapsed="false">
      <c r="A236" s="35"/>
      <c r="B236" s="26"/>
      <c r="C236" s="26"/>
      <c r="D236" s="26"/>
      <c r="E236" s="36"/>
      <c r="F236" s="26"/>
      <c r="G236" s="26"/>
      <c r="H236" s="26"/>
    </row>
    <row r="237" customFormat="false" ht="15" hidden="false" customHeight="false" outlineLevel="0" collapsed="false">
      <c r="A237" s="35"/>
      <c r="B237" s="26"/>
      <c r="C237" s="26"/>
      <c r="D237" s="26"/>
      <c r="E237" s="36"/>
      <c r="F237" s="26"/>
      <c r="G237" s="26"/>
      <c r="H237" s="26"/>
    </row>
    <row r="238" customFormat="false" ht="15" hidden="false" customHeight="false" outlineLevel="0" collapsed="false">
      <c r="A238" s="35"/>
      <c r="B238" s="26"/>
      <c r="C238" s="26"/>
      <c r="D238" s="26"/>
      <c r="E238" s="36"/>
      <c r="F238" s="26"/>
      <c r="G238" s="26"/>
      <c r="H238" s="26"/>
    </row>
    <row r="239" customFormat="false" ht="15" hidden="false" customHeight="false" outlineLevel="0" collapsed="false">
      <c r="A239" s="35"/>
      <c r="B239" s="26"/>
      <c r="C239" s="26"/>
      <c r="D239" s="26"/>
      <c r="E239" s="36"/>
      <c r="F239" s="26"/>
      <c r="G239" s="26"/>
      <c r="H239" s="26"/>
    </row>
    <row r="240" customFormat="false" ht="15" hidden="false" customHeight="false" outlineLevel="0" collapsed="false">
      <c r="A240" s="35"/>
      <c r="B240" s="26"/>
      <c r="C240" s="26"/>
      <c r="D240" s="26"/>
      <c r="E240" s="36"/>
      <c r="F240" s="26"/>
      <c r="G240" s="26"/>
      <c r="H240" s="26"/>
    </row>
    <row r="241" customFormat="false" ht="15" hidden="false" customHeight="false" outlineLevel="0" collapsed="false">
      <c r="A241" s="35"/>
      <c r="B241" s="26"/>
      <c r="C241" s="26"/>
      <c r="D241" s="26"/>
      <c r="E241" s="36"/>
      <c r="F241" s="26"/>
      <c r="G241" s="26"/>
      <c r="H241" s="26"/>
    </row>
    <row r="242" customFormat="false" ht="15" hidden="false" customHeight="false" outlineLevel="0" collapsed="false">
      <c r="A242" s="35"/>
      <c r="B242" s="26"/>
      <c r="C242" s="26"/>
      <c r="D242" s="26"/>
      <c r="E242" s="36"/>
      <c r="F242" s="26"/>
      <c r="G242" s="26"/>
      <c r="H242" s="26"/>
    </row>
    <row r="243" customFormat="false" ht="15" hidden="false" customHeight="false" outlineLevel="0" collapsed="false">
      <c r="A243" s="35"/>
      <c r="B243" s="26"/>
      <c r="C243" s="26"/>
      <c r="D243" s="26"/>
      <c r="E243" s="36"/>
      <c r="F243" s="26"/>
      <c r="G243" s="26"/>
      <c r="H243" s="26"/>
    </row>
    <row r="244" customFormat="false" ht="15" hidden="false" customHeight="false" outlineLevel="0" collapsed="false">
      <c r="A244" s="35"/>
      <c r="B244" s="26"/>
      <c r="C244" s="26"/>
      <c r="D244" s="26"/>
      <c r="E244" s="36"/>
      <c r="F244" s="26"/>
      <c r="G244" s="26"/>
      <c r="H244" s="26"/>
    </row>
    <row r="245" customFormat="false" ht="15" hidden="false" customHeight="false" outlineLevel="0" collapsed="false">
      <c r="A245" s="35"/>
      <c r="B245" s="26"/>
      <c r="C245" s="26"/>
      <c r="D245" s="26"/>
      <c r="E245" s="36"/>
      <c r="F245" s="26"/>
      <c r="G245" s="26"/>
      <c r="H245" s="26"/>
    </row>
    <row r="246" customFormat="false" ht="15" hidden="false" customHeight="false" outlineLevel="0" collapsed="false">
      <c r="A246" s="35"/>
      <c r="B246" s="26"/>
      <c r="C246" s="26"/>
      <c r="D246" s="26"/>
      <c r="E246" s="36"/>
      <c r="F246" s="26"/>
      <c r="G246" s="26"/>
      <c r="H246" s="26"/>
    </row>
    <row r="247" customFormat="false" ht="15" hidden="false" customHeight="false" outlineLevel="0" collapsed="false">
      <c r="A247" s="35"/>
      <c r="B247" s="26"/>
      <c r="C247" s="26"/>
      <c r="D247" s="26"/>
      <c r="E247" s="36"/>
      <c r="F247" s="26"/>
      <c r="G247" s="26"/>
      <c r="H247" s="26"/>
    </row>
    <row r="248" customFormat="false" ht="15" hidden="false" customHeight="false" outlineLevel="0" collapsed="false">
      <c r="A248" s="35"/>
      <c r="B248" s="26"/>
      <c r="C248" s="26"/>
      <c r="D248" s="26"/>
      <c r="E248" s="36"/>
      <c r="F248" s="26"/>
      <c r="G248" s="26"/>
      <c r="H248" s="26"/>
    </row>
    <row r="249" customFormat="false" ht="15" hidden="false" customHeight="false" outlineLevel="0" collapsed="false">
      <c r="A249" s="35"/>
      <c r="B249" s="26"/>
      <c r="C249" s="26"/>
      <c r="D249" s="26"/>
      <c r="E249" s="36"/>
      <c r="F249" s="26"/>
      <c r="G249" s="26"/>
      <c r="H249" s="26"/>
    </row>
    <row r="250" customFormat="false" ht="15" hidden="false" customHeight="false" outlineLevel="0" collapsed="false">
      <c r="A250" s="35"/>
      <c r="B250" s="26"/>
      <c r="C250" s="26"/>
      <c r="D250" s="26"/>
      <c r="E250" s="36"/>
      <c r="F250" s="26"/>
      <c r="G250" s="26"/>
      <c r="H250" s="26"/>
    </row>
    <row r="251" customFormat="false" ht="15" hidden="false" customHeight="false" outlineLevel="0" collapsed="false">
      <c r="A251" s="35"/>
      <c r="B251" s="26"/>
      <c r="C251" s="26"/>
      <c r="D251" s="26"/>
      <c r="E251" s="36"/>
      <c r="F251" s="26"/>
      <c r="G251" s="26"/>
      <c r="H251" s="26"/>
    </row>
    <row r="252" customFormat="false" ht="15" hidden="false" customHeight="false" outlineLevel="0" collapsed="false">
      <c r="A252" s="35"/>
      <c r="B252" s="26"/>
      <c r="C252" s="26"/>
      <c r="D252" s="26"/>
      <c r="E252" s="36"/>
      <c r="F252" s="26"/>
      <c r="G252" s="26"/>
      <c r="H252" s="26"/>
    </row>
    <row r="253" customFormat="false" ht="15" hidden="false" customHeight="false" outlineLevel="0" collapsed="false">
      <c r="A253" s="35"/>
      <c r="B253" s="26"/>
      <c r="C253" s="26"/>
      <c r="D253" s="26"/>
      <c r="E253" s="36"/>
      <c r="F253" s="26"/>
      <c r="G253" s="26"/>
      <c r="H253" s="26"/>
    </row>
    <row r="254" customFormat="false" ht="15" hidden="false" customHeight="false" outlineLevel="0" collapsed="false">
      <c r="A254" s="35"/>
      <c r="B254" s="26"/>
      <c r="C254" s="26"/>
      <c r="D254" s="26"/>
      <c r="E254" s="36"/>
      <c r="F254" s="26"/>
      <c r="G254" s="26"/>
      <c r="H254" s="26"/>
    </row>
    <row r="255" customFormat="false" ht="15" hidden="false" customHeight="false" outlineLevel="0" collapsed="false">
      <c r="A255" s="35"/>
      <c r="B255" s="26"/>
      <c r="C255" s="26"/>
      <c r="D255" s="26"/>
      <c r="E255" s="36"/>
      <c r="F255" s="26"/>
      <c r="G255" s="26"/>
      <c r="H255" s="26"/>
    </row>
    <row r="256" customFormat="false" ht="15" hidden="false" customHeight="false" outlineLevel="0" collapsed="false">
      <c r="A256" s="35"/>
      <c r="B256" s="26"/>
      <c r="C256" s="26"/>
      <c r="D256" s="26"/>
      <c r="E256" s="36"/>
      <c r="F256" s="26"/>
      <c r="G256" s="26"/>
      <c r="H256" s="26"/>
    </row>
    <row r="257" customFormat="false" ht="15" hidden="false" customHeight="false" outlineLevel="0" collapsed="false">
      <c r="A257" s="35"/>
      <c r="B257" s="26"/>
      <c r="C257" s="26"/>
      <c r="D257" s="26"/>
      <c r="E257" s="36"/>
      <c r="F257" s="26"/>
      <c r="G257" s="26"/>
      <c r="H257" s="26"/>
    </row>
    <row r="258" customFormat="false" ht="15" hidden="false" customHeight="false" outlineLevel="0" collapsed="false">
      <c r="A258" s="35"/>
      <c r="B258" s="26"/>
      <c r="C258" s="26"/>
      <c r="D258" s="26"/>
      <c r="E258" s="36"/>
      <c r="F258" s="26"/>
      <c r="G258" s="26"/>
      <c r="H258" s="26"/>
    </row>
    <row r="259" customFormat="false" ht="15" hidden="false" customHeight="false" outlineLevel="0" collapsed="false">
      <c r="A259" s="35"/>
      <c r="B259" s="26"/>
      <c r="C259" s="26"/>
      <c r="D259" s="26"/>
      <c r="E259" s="36"/>
      <c r="F259" s="26"/>
      <c r="G259" s="26"/>
      <c r="H259" s="26"/>
    </row>
    <row r="260" customFormat="false" ht="15" hidden="false" customHeight="false" outlineLevel="0" collapsed="false">
      <c r="A260" s="35"/>
      <c r="B260" s="26"/>
      <c r="C260" s="26"/>
      <c r="D260" s="26"/>
      <c r="E260" s="36"/>
      <c r="F260" s="26"/>
      <c r="G260" s="26"/>
      <c r="H260" s="26"/>
    </row>
    <row r="261" customFormat="false" ht="15" hidden="false" customHeight="false" outlineLevel="0" collapsed="false">
      <c r="A261" s="35"/>
      <c r="B261" s="26"/>
      <c r="C261" s="26"/>
      <c r="D261" s="26"/>
      <c r="E261" s="36"/>
      <c r="F261" s="26"/>
      <c r="G261" s="26"/>
      <c r="H261" s="26"/>
    </row>
    <row r="262" customFormat="false" ht="15" hidden="false" customHeight="false" outlineLevel="0" collapsed="false">
      <c r="A262" s="35"/>
      <c r="B262" s="26"/>
      <c r="C262" s="26"/>
      <c r="D262" s="26"/>
      <c r="E262" s="36"/>
      <c r="F262" s="26"/>
      <c r="G262" s="26"/>
      <c r="H262" s="26"/>
    </row>
    <row r="263" customFormat="false" ht="15" hidden="false" customHeight="false" outlineLevel="0" collapsed="false">
      <c r="A263" s="35"/>
      <c r="B263" s="26"/>
      <c r="C263" s="26"/>
      <c r="D263" s="26"/>
      <c r="E263" s="36"/>
      <c r="F263" s="26"/>
      <c r="G263" s="26"/>
      <c r="H263" s="26"/>
    </row>
    <row r="264" customFormat="false" ht="15" hidden="false" customHeight="false" outlineLevel="0" collapsed="false">
      <c r="A264" s="35"/>
      <c r="B264" s="26"/>
      <c r="C264" s="26"/>
      <c r="D264" s="26"/>
      <c r="E264" s="36"/>
      <c r="F264" s="26"/>
      <c r="G264" s="26"/>
      <c r="H264" s="26"/>
    </row>
    <row r="265" customFormat="false" ht="15" hidden="false" customHeight="false" outlineLevel="0" collapsed="false">
      <c r="A265" s="35"/>
      <c r="B265" s="26"/>
      <c r="C265" s="26"/>
      <c r="D265" s="26"/>
      <c r="E265" s="36"/>
      <c r="F265" s="26"/>
      <c r="G265" s="26"/>
      <c r="H265" s="26"/>
    </row>
    <row r="266" customFormat="false" ht="15" hidden="false" customHeight="false" outlineLevel="0" collapsed="false">
      <c r="A266" s="35"/>
      <c r="B266" s="26"/>
      <c r="C266" s="26"/>
      <c r="D266" s="26"/>
      <c r="E266" s="36"/>
      <c r="F266" s="26"/>
      <c r="G266" s="26"/>
      <c r="H266" s="26"/>
    </row>
    <row r="267" customFormat="false" ht="15" hidden="false" customHeight="false" outlineLevel="0" collapsed="false">
      <c r="A267" s="35"/>
      <c r="B267" s="26"/>
      <c r="C267" s="26"/>
      <c r="D267" s="26"/>
      <c r="E267" s="36"/>
      <c r="F267" s="26"/>
      <c r="G267" s="26"/>
      <c r="H267" s="26"/>
    </row>
    <row r="268" customFormat="false" ht="15" hidden="false" customHeight="false" outlineLevel="0" collapsed="false">
      <c r="A268" s="35"/>
      <c r="B268" s="26"/>
      <c r="C268" s="26"/>
      <c r="D268" s="26"/>
      <c r="E268" s="36"/>
      <c r="F268" s="26"/>
      <c r="G268" s="26"/>
      <c r="H268" s="26"/>
    </row>
    <row r="269" customFormat="false" ht="15" hidden="false" customHeight="false" outlineLevel="0" collapsed="false">
      <c r="A269" s="35"/>
      <c r="B269" s="26"/>
      <c r="C269" s="26"/>
      <c r="D269" s="26"/>
      <c r="E269" s="36"/>
      <c r="F269" s="26"/>
      <c r="G269" s="26"/>
      <c r="H269" s="26"/>
    </row>
    <row r="270" customFormat="false" ht="15" hidden="false" customHeight="false" outlineLevel="0" collapsed="false">
      <c r="A270" s="35"/>
      <c r="B270" s="26"/>
      <c r="C270" s="26"/>
      <c r="D270" s="26"/>
      <c r="E270" s="36"/>
      <c r="F270" s="26"/>
      <c r="G270" s="26"/>
      <c r="H270" s="26"/>
    </row>
    <row r="271" customFormat="false" ht="15" hidden="false" customHeight="false" outlineLevel="0" collapsed="false">
      <c r="A271" s="35"/>
      <c r="B271" s="26"/>
      <c r="C271" s="26"/>
      <c r="D271" s="26"/>
      <c r="E271" s="36"/>
      <c r="F271" s="26"/>
      <c r="G271" s="26"/>
      <c r="H271" s="26"/>
    </row>
    <row r="272" customFormat="false" ht="15" hidden="false" customHeight="false" outlineLevel="0" collapsed="false">
      <c r="A272" s="35"/>
      <c r="B272" s="26"/>
      <c r="C272" s="26"/>
      <c r="D272" s="26"/>
      <c r="E272" s="36"/>
      <c r="F272" s="26"/>
      <c r="G272" s="26"/>
      <c r="H272" s="26"/>
    </row>
    <row r="273" customFormat="false" ht="15" hidden="false" customHeight="false" outlineLevel="0" collapsed="false">
      <c r="A273" s="35"/>
      <c r="B273" s="26"/>
      <c r="C273" s="26"/>
      <c r="D273" s="26"/>
      <c r="E273" s="36"/>
      <c r="F273" s="26"/>
      <c r="G273" s="26"/>
      <c r="H273" s="26"/>
    </row>
    <row r="274" customFormat="false" ht="15" hidden="false" customHeight="false" outlineLevel="0" collapsed="false">
      <c r="A274" s="35"/>
      <c r="B274" s="26"/>
      <c r="C274" s="26"/>
      <c r="D274" s="26"/>
      <c r="E274" s="36"/>
      <c r="F274" s="26"/>
      <c r="G274" s="26"/>
      <c r="H274" s="26"/>
    </row>
    <row r="275" customFormat="false" ht="15" hidden="false" customHeight="false" outlineLevel="0" collapsed="false">
      <c r="A275" s="35"/>
      <c r="B275" s="26"/>
      <c r="C275" s="26"/>
      <c r="D275" s="26"/>
      <c r="E275" s="36"/>
      <c r="F275" s="26"/>
      <c r="G275" s="26"/>
      <c r="H275" s="26"/>
    </row>
    <row r="276" customFormat="false" ht="15" hidden="false" customHeight="false" outlineLevel="0" collapsed="false">
      <c r="A276" s="35"/>
      <c r="B276" s="26"/>
      <c r="C276" s="26"/>
      <c r="D276" s="26"/>
      <c r="E276" s="36"/>
      <c r="F276" s="26"/>
      <c r="G276" s="26"/>
      <c r="H276" s="26"/>
    </row>
    <row r="277" customFormat="false" ht="15" hidden="false" customHeight="false" outlineLevel="0" collapsed="false">
      <c r="A277" s="35"/>
      <c r="B277" s="26"/>
      <c r="C277" s="26"/>
      <c r="D277" s="26"/>
      <c r="E277" s="36"/>
      <c r="F277" s="26"/>
      <c r="G277" s="26"/>
      <c r="H277" s="26"/>
    </row>
    <row r="278" customFormat="false" ht="15" hidden="false" customHeight="false" outlineLevel="0" collapsed="false">
      <c r="A278" s="35"/>
      <c r="B278" s="26"/>
      <c r="C278" s="26"/>
      <c r="D278" s="26"/>
      <c r="E278" s="36"/>
      <c r="F278" s="26"/>
      <c r="G278" s="26"/>
      <c r="H278" s="26"/>
    </row>
    <row r="279" customFormat="false" ht="15" hidden="false" customHeight="false" outlineLevel="0" collapsed="false">
      <c r="A279" s="35"/>
      <c r="B279" s="26"/>
      <c r="C279" s="26"/>
      <c r="D279" s="26"/>
      <c r="E279" s="36"/>
      <c r="F279" s="26"/>
      <c r="G279" s="26"/>
      <c r="H279" s="26"/>
    </row>
    <row r="280" customFormat="false" ht="15" hidden="false" customHeight="false" outlineLevel="0" collapsed="false">
      <c r="A280" s="35"/>
      <c r="B280" s="26"/>
      <c r="C280" s="26"/>
      <c r="D280" s="26"/>
      <c r="E280" s="36"/>
      <c r="F280" s="26"/>
      <c r="G280" s="26"/>
      <c r="H280" s="26"/>
    </row>
    <row r="281" customFormat="false" ht="15" hidden="false" customHeight="false" outlineLevel="0" collapsed="false">
      <c r="A281" s="35"/>
      <c r="B281" s="26"/>
      <c r="C281" s="26"/>
      <c r="D281" s="26"/>
      <c r="E281" s="36"/>
      <c r="F281" s="26"/>
      <c r="G281" s="26"/>
      <c r="H281" s="26"/>
    </row>
    <row r="282" customFormat="false" ht="15" hidden="false" customHeight="false" outlineLevel="0" collapsed="false">
      <c r="A282" s="35"/>
      <c r="B282" s="26"/>
      <c r="C282" s="26"/>
      <c r="D282" s="26"/>
      <c r="E282" s="36"/>
      <c r="F282" s="26"/>
      <c r="G282" s="26"/>
      <c r="H282" s="26"/>
    </row>
    <row r="283" customFormat="false" ht="15" hidden="false" customHeight="false" outlineLevel="0" collapsed="false">
      <c r="A283" s="35"/>
      <c r="B283" s="26"/>
      <c r="C283" s="26"/>
      <c r="D283" s="26"/>
      <c r="E283" s="36"/>
      <c r="F283" s="26"/>
      <c r="G283" s="26"/>
      <c r="H283" s="26"/>
    </row>
    <row r="284" customFormat="false" ht="15" hidden="false" customHeight="false" outlineLevel="0" collapsed="false">
      <c r="A284" s="35"/>
      <c r="B284" s="26"/>
      <c r="C284" s="26"/>
      <c r="D284" s="26"/>
      <c r="E284" s="36"/>
      <c r="F284" s="26"/>
      <c r="G284" s="26"/>
      <c r="H284" s="26"/>
    </row>
    <row r="285" customFormat="false" ht="15" hidden="false" customHeight="false" outlineLevel="0" collapsed="false">
      <c r="A285" s="35"/>
      <c r="B285" s="26"/>
      <c r="C285" s="26"/>
      <c r="D285" s="26"/>
      <c r="E285" s="36"/>
      <c r="F285" s="26"/>
      <c r="G285" s="26"/>
      <c r="H285" s="26"/>
    </row>
    <row r="286" customFormat="false" ht="15" hidden="false" customHeight="false" outlineLevel="0" collapsed="false">
      <c r="A286" s="35"/>
      <c r="B286" s="26"/>
      <c r="C286" s="26"/>
      <c r="D286" s="26"/>
      <c r="E286" s="36"/>
      <c r="F286" s="26"/>
      <c r="G286" s="26"/>
      <c r="H286" s="26"/>
    </row>
    <row r="287" customFormat="false" ht="15" hidden="false" customHeight="false" outlineLevel="0" collapsed="false">
      <c r="A287" s="35"/>
      <c r="B287" s="26"/>
      <c r="C287" s="26"/>
      <c r="D287" s="26"/>
      <c r="E287" s="36"/>
      <c r="F287" s="26"/>
      <c r="G287" s="26"/>
      <c r="H287" s="26"/>
    </row>
    <row r="288" customFormat="false" ht="15" hidden="false" customHeight="false" outlineLevel="0" collapsed="false">
      <c r="A288" s="35"/>
      <c r="B288" s="26"/>
      <c r="C288" s="26"/>
      <c r="D288" s="26"/>
      <c r="E288" s="36"/>
      <c r="F288" s="26"/>
      <c r="G288" s="26"/>
      <c r="H288" s="26"/>
    </row>
    <row r="289" customFormat="false" ht="15" hidden="false" customHeight="false" outlineLevel="0" collapsed="false">
      <c r="A289" s="35"/>
      <c r="B289" s="26"/>
      <c r="C289" s="26"/>
      <c r="D289" s="26"/>
      <c r="E289" s="36"/>
      <c r="F289" s="26"/>
      <c r="G289" s="26"/>
      <c r="H289" s="26"/>
    </row>
    <row r="290" customFormat="false" ht="15" hidden="false" customHeight="false" outlineLevel="0" collapsed="false">
      <c r="A290" s="35"/>
      <c r="B290" s="26"/>
      <c r="C290" s="26"/>
      <c r="D290" s="26"/>
      <c r="E290" s="36"/>
      <c r="F290" s="26"/>
      <c r="G290" s="26"/>
      <c r="H290" s="26"/>
    </row>
    <row r="291" customFormat="false" ht="15" hidden="false" customHeight="false" outlineLevel="0" collapsed="false">
      <c r="A291" s="35"/>
      <c r="B291" s="26"/>
      <c r="C291" s="26"/>
      <c r="D291" s="26"/>
      <c r="E291" s="36"/>
      <c r="F291" s="26"/>
      <c r="G291" s="26"/>
      <c r="H291" s="26"/>
    </row>
    <row r="292" customFormat="false" ht="15" hidden="false" customHeight="false" outlineLevel="0" collapsed="false">
      <c r="A292" s="35"/>
      <c r="B292" s="26"/>
      <c r="C292" s="26"/>
      <c r="D292" s="26"/>
      <c r="E292" s="36"/>
      <c r="F292" s="26"/>
      <c r="G292" s="26"/>
      <c r="H292" s="26"/>
    </row>
    <row r="293" customFormat="false" ht="15" hidden="false" customHeight="false" outlineLevel="0" collapsed="false">
      <c r="A293" s="35"/>
      <c r="B293" s="26"/>
      <c r="C293" s="26"/>
      <c r="D293" s="26"/>
      <c r="E293" s="36"/>
      <c r="F293" s="26"/>
      <c r="G293" s="26"/>
      <c r="H293" s="26"/>
    </row>
    <row r="294" customFormat="false" ht="15" hidden="false" customHeight="false" outlineLevel="0" collapsed="false">
      <c r="A294" s="35"/>
      <c r="B294" s="26"/>
      <c r="C294" s="26"/>
      <c r="D294" s="26"/>
      <c r="E294" s="36"/>
      <c r="F294" s="26"/>
      <c r="G294" s="26"/>
      <c r="H294" s="26"/>
    </row>
    <row r="295" customFormat="false" ht="15" hidden="false" customHeight="false" outlineLevel="0" collapsed="false">
      <c r="A295" s="35"/>
      <c r="B295" s="26"/>
      <c r="C295" s="26"/>
      <c r="D295" s="26"/>
      <c r="E295" s="36"/>
      <c r="F295" s="26"/>
      <c r="G295" s="26"/>
      <c r="H295" s="26"/>
    </row>
    <row r="296" customFormat="false" ht="15" hidden="false" customHeight="false" outlineLevel="0" collapsed="false">
      <c r="A296" s="35"/>
      <c r="B296" s="26"/>
      <c r="C296" s="26"/>
      <c r="D296" s="26"/>
      <c r="E296" s="36"/>
      <c r="F296" s="26"/>
      <c r="G296" s="26"/>
      <c r="H296" s="26"/>
    </row>
    <row r="297" customFormat="false" ht="15" hidden="false" customHeight="false" outlineLevel="0" collapsed="false">
      <c r="A297" s="35"/>
      <c r="B297" s="26"/>
      <c r="C297" s="26"/>
      <c r="D297" s="26"/>
      <c r="E297" s="36"/>
      <c r="F297" s="26"/>
      <c r="G297" s="26"/>
      <c r="H297" s="26"/>
    </row>
    <row r="298" customFormat="false" ht="15" hidden="false" customHeight="false" outlineLevel="0" collapsed="false">
      <c r="A298" s="35"/>
      <c r="B298" s="26"/>
      <c r="C298" s="26"/>
      <c r="D298" s="26"/>
      <c r="E298" s="36"/>
      <c r="F298" s="26"/>
      <c r="G298" s="26"/>
      <c r="H298" s="26"/>
    </row>
    <row r="299" customFormat="false" ht="15" hidden="false" customHeight="false" outlineLevel="0" collapsed="false">
      <c r="A299" s="35"/>
      <c r="B299" s="26"/>
      <c r="C299" s="26"/>
      <c r="D299" s="26"/>
      <c r="E299" s="36"/>
      <c r="F299" s="26"/>
      <c r="G299" s="26"/>
      <c r="H299" s="26"/>
    </row>
    <row r="300" customFormat="false" ht="15" hidden="false" customHeight="false" outlineLevel="0" collapsed="false">
      <c r="A300" s="35"/>
      <c r="B300" s="26"/>
      <c r="C300" s="26"/>
      <c r="D300" s="26"/>
      <c r="E300" s="36"/>
      <c r="F300" s="26"/>
      <c r="G300" s="26"/>
      <c r="H300" s="26"/>
    </row>
    <row r="301" customFormat="false" ht="15" hidden="false" customHeight="false" outlineLevel="0" collapsed="false">
      <c r="A301" s="35"/>
      <c r="B301" s="26"/>
      <c r="C301" s="26"/>
      <c r="D301" s="26"/>
      <c r="E301" s="36"/>
      <c r="F301" s="26"/>
      <c r="G301" s="26"/>
      <c r="H301" s="26"/>
    </row>
    <row r="302" customFormat="false" ht="15" hidden="false" customHeight="false" outlineLevel="0" collapsed="false">
      <c r="A302" s="35"/>
      <c r="B302" s="26"/>
      <c r="C302" s="26"/>
      <c r="D302" s="26"/>
      <c r="E302" s="36"/>
      <c r="F302" s="26"/>
      <c r="G302" s="26"/>
      <c r="H302" s="26"/>
    </row>
    <row r="303" customFormat="false" ht="15" hidden="false" customHeight="false" outlineLevel="0" collapsed="false">
      <c r="A303" s="35"/>
      <c r="B303" s="26"/>
      <c r="C303" s="26"/>
      <c r="D303" s="26"/>
      <c r="E303" s="36"/>
      <c r="F303" s="26"/>
      <c r="G303" s="26"/>
      <c r="H303" s="26"/>
    </row>
    <row r="304" customFormat="false" ht="15" hidden="false" customHeight="false" outlineLevel="0" collapsed="false">
      <c r="A304" s="35"/>
      <c r="B304" s="26"/>
      <c r="C304" s="26"/>
      <c r="D304" s="26"/>
      <c r="E304" s="36"/>
      <c r="F304" s="26"/>
      <c r="G304" s="26"/>
      <c r="H304" s="26"/>
    </row>
  </sheetData>
  <conditionalFormatting sqref="D5:D304">
    <cfRule type="expression" priority="2" aboveAverage="0" equalAverage="0" bottom="0" percent="0" rank="0" text="" dxfId="12">
      <formula>AND($E5&lt;&gt;"",$D5="")</formula>
    </cfRule>
  </conditionalFormatting>
  <conditionalFormatting sqref="F5:F304">
    <cfRule type="expression" priority="3" aboveAverage="0" equalAverage="0" bottom="0" percent="0" rank="0" text="" dxfId="12">
      <formula>AND($E5&lt;&gt;"",$F5="")</formula>
    </cfRule>
  </conditionalFormatting>
  <conditionalFormatting sqref="K14">
    <cfRule type="cellIs" priority="4" operator="notEqual" aboveAverage="0" equalAverage="0" bottom="0" percent="0" rank="0" text="" dxfId="5">
      <formula>0</formula>
    </cfRule>
  </conditionalFormatting>
  <dataValidations count="4">
    <dataValidation allowBlank="true" error="Wybierz kategorię z listy (słownik w zakładce 'Słowniki i Parametry')." errorStyle="stop" errorTitle="Nieznana kategoria" operator="between" showDropDown="false" showErrorMessage="true" showInputMessage="false" sqref="D5:D304" type="list">
      <formula1>'Słowniki i Parametry'!$A$5:$A$12</formula1>
      <formula2>0</formula2>
    </dataValidation>
    <dataValidation allowBlank="true" error="Wybierz formę płatności z listy." errorStyle="stop" errorTitle="Nieznana forma płatności" operator="between" showDropDown="false" showErrorMessage="true" showInputMessage="false" sqref="F5:F304" type="list">
      <formula1>'Słowniki i Parametry'!$E$5:$E$8</formula1>
      <formula2>0</formula2>
    </dataValidation>
    <dataValidation allowBlank="true" error="Wpisz poprawną datę, np. 12.09.2026." errorStyle="stop" errorTitle="Błędna data" operator="greaterThan" showDropDown="false" showErrorMessage="true" showInputMessage="false" sqref="A5:A304" type="date">
      <formula1>43831</formula1>
      <formula2>0</formula2>
    </dataValidation>
    <dataValidation allowBlank="true" error="Kwota wydatku musi być liczbą większą od 0." errorStyle="stop" errorTitle="Błędna kwota" operator="greaterThan" showDropDown="false" showErrorMessage="true" showInputMessage="false" sqref="E5:E3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3"/>
    <col collapsed="false" customWidth="true" hidden="false" outlineLevel="0" max="10" min="10" style="0" width="42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21" t="s">
        <v>104</v>
      </c>
    </row>
    <row r="2" customFormat="false" ht="15" hidden="false" customHeight="false" outlineLevel="0" collapsed="false">
      <c r="A2" s="22" t="s">
        <v>105</v>
      </c>
    </row>
    <row r="4" customFormat="false" ht="15" hidden="false" customHeight="false" outlineLevel="0" collapsed="false">
      <c r="A4" s="5" t="s">
        <v>106</v>
      </c>
      <c r="C4" s="5" t="s">
        <v>107</v>
      </c>
      <c r="E4" s="5" t="s">
        <v>108</v>
      </c>
      <c r="G4" s="5" t="s">
        <v>109</v>
      </c>
      <c r="H4" s="5" t="s">
        <v>110</v>
      </c>
      <c r="J4" s="5" t="s">
        <v>111</v>
      </c>
      <c r="K4" s="5" t="s">
        <v>112</v>
      </c>
    </row>
    <row r="5" customFormat="false" ht="15" hidden="false" customHeight="false" outlineLevel="0" collapsed="false">
      <c r="A5" s="26" t="s">
        <v>85</v>
      </c>
      <c r="C5" s="26" t="s">
        <v>113</v>
      </c>
      <c r="E5" s="26" t="s">
        <v>94</v>
      </c>
      <c r="G5" s="26" t="s">
        <v>114</v>
      </c>
      <c r="H5" s="36" t="n">
        <v>150</v>
      </c>
      <c r="J5" s="9" t="s">
        <v>115</v>
      </c>
      <c r="K5" s="26" t="s">
        <v>116</v>
      </c>
    </row>
    <row r="6" customFormat="false" ht="15" hidden="false" customHeight="false" outlineLevel="0" collapsed="false">
      <c r="A6" s="26" t="s">
        <v>97</v>
      </c>
      <c r="C6" s="26" t="s">
        <v>117</v>
      </c>
      <c r="E6" s="26" t="s">
        <v>86</v>
      </c>
      <c r="G6" s="26" t="s">
        <v>118</v>
      </c>
      <c r="H6" s="36" t="n">
        <v>60</v>
      </c>
      <c r="J6" s="9" t="s">
        <v>119</v>
      </c>
      <c r="K6" s="26" t="s">
        <v>120</v>
      </c>
    </row>
    <row r="7" customFormat="false" ht="15" hidden="false" customHeight="false" outlineLevel="0" collapsed="false">
      <c r="A7" s="26" t="s">
        <v>93</v>
      </c>
      <c r="C7" s="26" t="s">
        <v>121</v>
      </c>
      <c r="E7" s="26"/>
      <c r="G7" s="26" t="s">
        <v>122</v>
      </c>
      <c r="H7" s="36" t="n">
        <v>15</v>
      </c>
      <c r="J7" s="9" t="s">
        <v>123</v>
      </c>
      <c r="K7" s="26" t="s">
        <v>87</v>
      </c>
    </row>
    <row r="8" customFormat="false" ht="15" hidden="false" customHeight="false" outlineLevel="0" collapsed="false">
      <c r="A8" s="26" t="s">
        <v>124</v>
      </c>
      <c r="C8" s="26" t="s">
        <v>125</v>
      </c>
      <c r="E8" s="26"/>
      <c r="G8" s="26" t="s">
        <v>126</v>
      </c>
      <c r="H8" s="36" t="n">
        <v>20</v>
      </c>
      <c r="J8" s="9" t="s">
        <v>127</v>
      </c>
      <c r="K8" s="36" t="n">
        <v>200</v>
      </c>
    </row>
    <row r="9" customFormat="false" ht="15" hidden="false" customHeight="false" outlineLevel="0" collapsed="false">
      <c r="A9" s="26" t="s">
        <v>102</v>
      </c>
      <c r="C9" s="26"/>
      <c r="G9" s="26" t="s">
        <v>128</v>
      </c>
      <c r="H9" s="36" t="n">
        <v>80</v>
      </c>
      <c r="J9" s="9" t="s">
        <v>129</v>
      </c>
      <c r="K9" s="36" t="n">
        <v>100</v>
      </c>
    </row>
    <row r="10" customFormat="false" ht="15" hidden="false" customHeight="false" outlineLevel="0" collapsed="false">
      <c r="A10" s="26" t="s">
        <v>130</v>
      </c>
      <c r="C10" s="26"/>
      <c r="G10" s="26" t="s">
        <v>131</v>
      </c>
      <c r="H10" s="36" t="n">
        <v>0</v>
      </c>
    </row>
    <row r="11" customFormat="false" ht="15" hidden="false" customHeight="false" outlineLevel="0" collapsed="false">
      <c r="A11" s="26"/>
      <c r="C11" s="26"/>
    </row>
    <row r="12" customFormat="false" ht="15" hidden="false" customHeight="false" outlineLevel="0" collapsed="false">
      <c r="A12" s="26"/>
      <c r="C12" s="26"/>
    </row>
    <row r="15" customFormat="false" ht="15" hidden="false" customHeight="false" outlineLevel="0" collapsed="false">
      <c r="A15" s="2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2026-10-04T18:19:39Z</dcterms:created>
  <dc:creator>openpyxl</dc:creator>
  <dc:description/>
  <dc:language>en-US</dc:language>
  <cp:lastModifiedBy/>
  <dcterms:modified xsi:type="dcterms:W3CDTF">2026-10-04T18:19:41Z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